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Nikunj\Downloads\"/>
    </mc:Choice>
  </mc:AlternateContent>
  <xr:revisionPtr revIDLastSave="0" documentId="8_{8C078DFA-99F3-4321-9EF0-8348B7B016E8}" xr6:coauthVersionLast="47" xr6:coauthVersionMax="47" xr10:uidLastSave="{00000000-0000-0000-0000-000000000000}"/>
  <bookViews>
    <workbookView xWindow="-108" yWindow="-108" windowWidth="23256" windowHeight="12456" firstSheet="1" activeTab="4" xr2:uid="{00000000-000D-0000-FFFF-FFFF00000000}"/>
  </bookViews>
  <sheets>
    <sheet name="Break Data" sheetId="1" r:id="rId1"/>
    <sheet name="Efficiency" sheetId="2" r:id="rId2"/>
    <sheet name="Overall performance" sheetId="3" r:id="rId3"/>
    <sheet name="Summary" sheetId="4" r:id="rId4"/>
    <sheet name="Dashbaord" sheetId="6" r:id="rId5"/>
  </sheets>
  <definedNames>
    <definedName name="Breakdata">'Break Data'!$A:$J</definedName>
    <definedName name="Calldata">'Overall performance'!$A$1:$J$151</definedName>
    <definedName name="Efficiency">Efficiency!$A:$L</definedName>
  </definedNames>
  <calcPr calcId="191029"/>
  <pivotCaches>
    <pivotCache cacheId="0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2" i="4"/>
  <c r="D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<sst xmlns="http://schemas.openxmlformats.org/spreadsheetml/2006/main" count="4405" uniqueCount="1813">
  <si>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</si>
  <si>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</si>
  <si>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</si>
  <si>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</si>
  <si>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</si>
  <si>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</si>
  <si>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</si>
  <si>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</si>
  <si>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</si>
  <si>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Mum_Employee1 (1008501)</t>
  </si>
  <si>
    <t>0:34:00</t>
  </si>
  <si>
    <t>0:22:00</t>
  </si>
  <si>
    <t>0:03:00</t>
  </si>
  <si>
    <t>0:00:00</t>
  </si>
  <si>
    <t>0:02:00</t>
  </si>
  <si>
    <t>0:05:00</t>
  </si>
  <si>
    <t>1:09:00</t>
  </si>
  <si>
    <t>Mum_Employee2 (1008502)</t>
  </si>
  <si>
    <t>0:37:00</t>
  </si>
  <si>
    <t>0:28:00</t>
  </si>
  <si>
    <t>0:10:00</t>
  </si>
  <si>
    <t>0:09:00</t>
  </si>
  <si>
    <t>0:08:00</t>
  </si>
  <si>
    <t>1:37:00</t>
  </si>
  <si>
    <t>Mum_Employee3 (1008503)</t>
  </si>
  <si>
    <t>0:30:00</t>
  </si>
  <si>
    <t>0:04:00</t>
  </si>
  <si>
    <t>0:07:00</t>
  </si>
  <si>
    <t>1:31:00</t>
  </si>
  <si>
    <t>Mum_Employee4 (1008504)</t>
  </si>
  <si>
    <t>0:32:00</t>
  </si>
  <si>
    <t>0:23:00</t>
  </si>
  <si>
    <t>0:06:00</t>
  </si>
  <si>
    <t>1:23:00</t>
  </si>
  <si>
    <t>Mum_Employee5 (1008505)</t>
  </si>
  <si>
    <t>0:48:00</t>
  </si>
  <si>
    <t>0:25:00</t>
  </si>
  <si>
    <t>0:01:00</t>
  </si>
  <si>
    <t>1:29:00</t>
  </si>
  <si>
    <t>Mum_Employee6 (1008506)</t>
  </si>
  <si>
    <t>1:46:00</t>
  </si>
  <si>
    <t>Mum_Employee7 (1008507)</t>
  </si>
  <si>
    <t>0:46:00</t>
  </si>
  <si>
    <t>1:39:00</t>
  </si>
  <si>
    <t>Mum_Employee8 (1008508)</t>
  </si>
  <si>
    <t>1:21:00</t>
  </si>
  <si>
    <t>Mum_Employee9 (1008509)</t>
  </si>
  <si>
    <t>0:49:00</t>
  </si>
  <si>
    <t>0:29:00</t>
  </si>
  <si>
    <t>1:50:00</t>
  </si>
  <si>
    <t>Mum_Employee10 (1008510)</t>
  </si>
  <si>
    <t>0:31:00</t>
  </si>
  <si>
    <t>0:20:00</t>
  </si>
  <si>
    <t>1:17:00</t>
  </si>
  <si>
    <t>Mum_Employee11 (1008511)</t>
  </si>
  <si>
    <t>0:24:00</t>
  </si>
  <si>
    <t>1:41:00</t>
  </si>
  <si>
    <t>Mum_Employee12 (1008512)</t>
  </si>
  <si>
    <t>0:27:00</t>
  </si>
  <si>
    <t>Mum_Employee13 (1008513)</t>
  </si>
  <si>
    <t>1:38:00</t>
  </si>
  <si>
    <t>Mum_Employee14 (1008514)</t>
  </si>
  <si>
    <t>Mum_Employee15 (1008515)</t>
  </si>
  <si>
    <t>0:33:00</t>
  </si>
  <si>
    <t>Mum_Employee16 (1008516)</t>
  </si>
  <si>
    <t>0:40:00</t>
  </si>
  <si>
    <t>1:28:00</t>
  </si>
  <si>
    <t>Mum_Employee17 (1008517)</t>
  </si>
  <si>
    <t>0:26:00</t>
  </si>
  <si>
    <t>1:24:00</t>
  </si>
  <si>
    <t>Mum_Employee18 (1008518)</t>
  </si>
  <si>
    <t>Mum_Employee19 (1008519)</t>
  </si>
  <si>
    <t>0:42:00</t>
  </si>
  <si>
    <t>1:30:00</t>
  </si>
  <si>
    <t>Mum_Employee20 (1008520)</t>
  </si>
  <si>
    <t>0:38:00</t>
  </si>
  <si>
    <t>Mum_Employee21 (1008521)</t>
  </si>
  <si>
    <t>0:47:00</t>
  </si>
  <si>
    <t>1:32:00</t>
  </si>
  <si>
    <t>Mum_Employee22 (1008522)</t>
  </si>
  <si>
    <t>0:35:00</t>
  </si>
  <si>
    <t>1:43:00</t>
  </si>
  <si>
    <t>Mum_Employee23 (1008523)</t>
  </si>
  <si>
    <t>0:50:00</t>
  </si>
  <si>
    <t>1:36:00</t>
  </si>
  <si>
    <t>Mum_Employee24 (1008524)</t>
  </si>
  <si>
    <t>0:39:00</t>
  </si>
  <si>
    <t>Mum_Employee25 (1008525)</t>
  </si>
  <si>
    <t>1:27:00</t>
  </si>
  <si>
    <t>Mum_Employee26 (1008526)</t>
  </si>
  <si>
    <t>1:42:00</t>
  </si>
  <si>
    <t>Mum_Employee27 (1008527)</t>
  </si>
  <si>
    <t>Mum_Employee28 (1008528)</t>
  </si>
  <si>
    <t>1:20:00</t>
  </si>
  <si>
    <t>Mum_Employee29 (1008529)</t>
  </si>
  <si>
    <t>0:45:00</t>
  </si>
  <si>
    <t>1:45:00</t>
  </si>
  <si>
    <t>Mum_Employee30 (1008530)</t>
  </si>
  <si>
    <t>1:26:00</t>
  </si>
  <si>
    <t>Mum_Employee31 (1008531)</t>
  </si>
  <si>
    <t>Mum_Employee32 (1008532)</t>
  </si>
  <si>
    <t>Mum_Employee33 (1008533)</t>
  </si>
  <si>
    <t>1:35:00</t>
  </si>
  <si>
    <t>Mum_Employee34 (1008534)</t>
  </si>
  <si>
    <t>1:51:00</t>
  </si>
  <si>
    <t>Mum_Employee35 (1008535)</t>
  </si>
  <si>
    <t>0:36:00</t>
  </si>
  <si>
    <t>Mum_Employee36 (1008536)</t>
  </si>
  <si>
    <t>Mum_Employee37 (1008537)</t>
  </si>
  <si>
    <t>1:15:00</t>
  </si>
  <si>
    <t>Mum_Employee38 (1008538)</t>
  </si>
  <si>
    <t>Mum_Employee39 (1008539)</t>
  </si>
  <si>
    <t>Mum_Employee40 (1008540)</t>
  </si>
  <si>
    <t>1:13:00</t>
  </si>
  <si>
    <t>Mum_Employee41 (1008541)</t>
  </si>
  <si>
    <t>Mum_Employee42 (1008542)</t>
  </si>
  <si>
    <t>0:41:00</t>
  </si>
  <si>
    <t>Mum_Employee43 (1008543)</t>
  </si>
  <si>
    <t>Mum_Employee44 (1008544)</t>
  </si>
  <si>
    <t>1:54:00</t>
  </si>
  <si>
    <t>Mum_Employee45 (1008545)</t>
  </si>
  <si>
    <t>1:19:00</t>
  </si>
  <si>
    <t>Mum_Employee46 (1008546)</t>
  </si>
  <si>
    <t>0:21:00</t>
  </si>
  <si>
    <t>1:14:00</t>
  </si>
  <si>
    <t>Mum_Employee47 (1008547)</t>
  </si>
  <si>
    <t>1:56:00</t>
  </si>
  <si>
    <t>Mum_Employee48 (1008548)</t>
  </si>
  <si>
    <t>Mum_Employee49 (1008549)</t>
  </si>
  <si>
    <t>1:11:00</t>
  </si>
  <si>
    <t>Mum_Employee50 (1008550)</t>
  </si>
  <si>
    <t>1:25:00</t>
  </si>
  <si>
    <t>Mum_Employee51 (1008551)</t>
  </si>
  <si>
    <t>1:40:00</t>
  </si>
  <si>
    <t>Mum_Employee52 (1008552)</t>
  </si>
  <si>
    <t>Mum_Employee53 (1008553)</t>
  </si>
  <si>
    <t>0:44:00</t>
  </si>
  <si>
    <t>Mum_Employee54 (1008554)</t>
  </si>
  <si>
    <t>Mum_Employee55 (1008555)</t>
  </si>
  <si>
    <t>Mum_Employee56 (1008556)</t>
  </si>
  <si>
    <t>Mum_Employee57 (1008557)</t>
  </si>
  <si>
    <t>Mum_Employee58 (1008558)</t>
  </si>
  <si>
    <t>Mum_Employee59 (1008559)</t>
  </si>
  <si>
    <t>Mum_Employee60 (1008560)</t>
  </si>
  <si>
    <t>Mum_Employee61 (1008561)</t>
  </si>
  <si>
    <t>Mum_Employee62 (1008562)</t>
  </si>
  <si>
    <t>Mum_Employee63 (1008563)</t>
  </si>
  <si>
    <t>Mum_Employee64 (1008564)</t>
  </si>
  <si>
    <t>Mum_Employee65 (1008565)</t>
  </si>
  <si>
    <t>1:16:00</t>
  </si>
  <si>
    <t>Mum_Employee66 (1008566)</t>
  </si>
  <si>
    <t>1:22:00</t>
  </si>
  <si>
    <t>Mum_Employee67 (1008567)</t>
  </si>
  <si>
    <t>Mum_Employee68 (1008568)</t>
  </si>
  <si>
    <t>Mum_Employee69 (1008569)</t>
  </si>
  <si>
    <t>Mum_Employee70 (1008570)</t>
  </si>
  <si>
    <t>1:57:00</t>
  </si>
  <si>
    <t>Mum_Employee71 (1008571)</t>
  </si>
  <si>
    <t>Mum_Employee72 (1008572)</t>
  </si>
  <si>
    <t>1:33:00</t>
  </si>
  <si>
    <t>Mum_Employee73 (1008573)</t>
  </si>
  <si>
    <t>Mum_Employee74 (1008574)</t>
  </si>
  <si>
    <t>Mum_Employee75 (1008575)</t>
  </si>
  <si>
    <t>Hyd_Employee76 (1008576)</t>
  </si>
  <si>
    <t>Hyd_Employee77 (1008577)</t>
  </si>
  <si>
    <t>Hyd_Employee78 (1008578)</t>
  </si>
  <si>
    <t>Hyd_Employee79 (1008579)</t>
  </si>
  <si>
    <t>Hyd_Employee80 (1008580)</t>
  </si>
  <si>
    <t>Hyd_Employee81 (1008581)</t>
  </si>
  <si>
    <t>2:05:00</t>
  </si>
  <si>
    <t>Hyd_Employee82 (1008582)</t>
  </si>
  <si>
    <t>Hyd_Employee83 (1008583)</t>
  </si>
  <si>
    <t>1:48:00</t>
  </si>
  <si>
    <t>Hyd_Employee84 (1008584)</t>
  </si>
  <si>
    <t>Hyd_Employee85 (1008585)</t>
  </si>
  <si>
    <t>Hyd_Employee86 (1008586)</t>
  </si>
  <si>
    <t>Hyd_Employee87 (1008587)</t>
  </si>
  <si>
    <t>Hyd_Employee88 (1008588)</t>
  </si>
  <si>
    <t>Hyd_Employee89 (1008589)</t>
  </si>
  <si>
    <t>0:43:00</t>
  </si>
  <si>
    <t>1:44:00</t>
  </si>
  <si>
    <t>Hyd_Employee90 (1008590)</t>
  </si>
  <si>
    <t>Hyd_Employee91 (1008591)</t>
  </si>
  <si>
    <t>Hyd_Employee92 (1008592)</t>
  </si>
  <si>
    <t>Hyd_Employee93 (1008593)</t>
  </si>
  <si>
    <t>Hyd_Employee94 (1008594)</t>
  </si>
  <si>
    <t>Hyd_Employee95 (1008595)</t>
  </si>
  <si>
    <t>Hyd_Employee96 (1008596)</t>
  </si>
  <si>
    <t>Hyd_Employee97 (1008597)</t>
  </si>
  <si>
    <t>1:34:00</t>
  </si>
  <si>
    <t>Hyd_Employee98 (1008598)</t>
  </si>
  <si>
    <t>Hyd_Employee99 (1008599)</t>
  </si>
  <si>
    <t>Hyd_Employee100 (1008600)</t>
  </si>
  <si>
    <t>Hyd_Employee101 (1008601)</t>
  </si>
  <si>
    <t>Hyd_Employee102 (1008602)</t>
  </si>
  <si>
    <t>Hyd_Employee103 (1008603)</t>
  </si>
  <si>
    <t>Hyd_Employee104 (1008604)</t>
  </si>
  <si>
    <t>Hyd_Employee105 (1008605)</t>
  </si>
  <si>
    <t>Hyd_Employee106 (1008606)</t>
  </si>
  <si>
    <t>Hyd_Employee107 (1008607)</t>
  </si>
  <si>
    <t>Hyd_Employee108 (1008608)</t>
  </si>
  <si>
    <t>Hyd_Employee109 (1008609)</t>
  </si>
  <si>
    <t>Hyd_Employee110 (1008610)</t>
  </si>
  <si>
    <t>Hyd_Employee111 (1008611)</t>
  </si>
  <si>
    <t>Hyd_Employee112 (1008612)</t>
  </si>
  <si>
    <t>Hyd_Employee113 (1008613)</t>
  </si>
  <si>
    <t>1:49:00</t>
  </si>
  <si>
    <t>Hyd_Employee114 (1008614)</t>
  </si>
  <si>
    <t>Hyd_Employee115 (1008615)</t>
  </si>
  <si>
    <t>1:55:00</t>
  </si>
  <si>
    <t>Hyd_Employee116 (1008616)</t>
  </si>
  <si>
    <t>Hyd_Employee117 (1008617)</t>
  </si>
  <si>
    <t>Hyd_Employee118 (1008618)</t>
  </si>
  <si>
    <t>Hyd_Employee119 (1008619)</t>
  </si>
  <si>
    <t>Hyd_Employee120 (1008620)</t>
  </si>
  <si>
    <t>1:05:00</t>
  </si>
  <si>
    <t>Hyd_Employee121 (1008621)</t>
  </si>
  <si>
    <t>Hyd_Employee122 (1008622)</t>
  </si>
  <si>
    <t>Hyd_Employee123 (1008623)</t>
  </si>
  <si>
    <t>Hyd_Employee124 (1008624)</t>
  </si>
  <si>
    <t>Hyd_Employee125 (1008625)</t>
  </si>
  <si>
    <t>Hyd_Employee126 (1008626)</t>
  </si>
  <si>
    <t>Hyd_Employee127 (1008627)</t>
  </si>
  <si>
    <t>Hyd_Employee128 (1008628)</t>
  </si>
  <si>
    <t>Hyd_Employee129 (1008629)</t>
  </si>
  <si>
    <t>Hyd_Employee130 (1008630)</t>
  </si>
  <si>
    <t>Hyd_Employee131 (1008631)</t>
  </si>
  <si>
    <t>Hyd_Employee132 (1008632)</t>
  </si>
  <si>
    <t>Hyd_Employee133 (1008633)</t>
  </si>
  <si>
    <t>Hyd_Employee134 (1008634)</t>
  </si>
  <si>
    <t>Hyd_Employee135 (1008635)</t>
  </si>
  <si>
    <t>Hyd_Employee136 (1008636)</t>
  </si>
  <si>
    <t>Hyd_Employee137 (1008637)</t>
  </si>
  <si>
    <t>1:10:00</t>
  </si>
  <si>
    <t>Hyd_Employee138 (1008638)</t>
  </si>
  <si>
    <t>Hyd_Employee139 (1008639)</t>
  </si>
  <si>
    <t>1:47:00</t>
  </si>
  <si>
    <t>Hyd_Employee140 (1008640)</t>
  </si>
  <si>
    <t>Hyd_Employee141 (1008641)</t>
  </si>
  <si>
    <t>Hyd_Employee142 (1008642)</t>
  </si>
  <si>
    <t>Hyd_Employee143 (1008643)</t>
  </si>
  <si>
    <t>Hyd_Employee144 (1008644)</t>
  </si>
  <si>
    <t>Hyd_Employee145 (1008645)</t>
  </si>
  <si>
    <t>Hyd_Employee146 (1008646)</t>
  </si>
  <si>
    <t>Hyd_Employee147 (1008647)</t>
  </si>
  <si>
    <t>Hyd_Employee148 (1008648)</t>
  </si>
  <si>
    <t>Hyd_Employee149 (1008649)</t>
  </si>
  <si>
    <t>Hyd_Employee150 (1008650)</t>
  </si>
  <si>
    <t>Total Working Hours</t>
  </si>
  <si>
    <t>Work Efficiency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</si>
  <si>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</si>
  <si>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</si>
  <si>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</si>
  <si>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</si>
  <si>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</si>
  <si>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</si>
  <si>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</si>
  <si>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</si>
  <si>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</si>
  <si>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7:24:00</t>
  </si>
  <si>
    <t>4:56:00</t>
  </si>
  <si>
    <t>68.11%</t>
  </si>
  <si>
    <t>66.66%</t>
  </si>
  <si>
    <t>46.38%</t>
  </si>
  <si>
    <t>4.48%</t>
  </si>
  <si>
    <t>27.58%</t>
  </si>
  <si>
    <t>3.44%</t>
  </si>
  <si>
    <t>1.94%</t>
  </si>
  <si>
    <t>17.44%</t>
  </si>
  <si>
    <t>7:00:00</t>
  </si>
  <si>
    <t>4:54:00</t>
  </si>
  <si>
    <t>60.17%</t>
  </si>
  <si>
    <t>53.79%</t>
  </si>
  <si>
    <t>48.72%</t>
  </si>
  <si>
    <t>3.78%</t>
  </si>
  <si>
    <t>25.78%</t>
  </si>
  <si>
    <t>0.11%</t>
  </si>
  <si>
    <t>0.32%</t>
  </si>
  <si>
    <t>38.89%</t>
  </si>
  <si>
    <t>8:36:00</t>
  </si>
  <si>
    <t>5:07:00</t>
  </si>
  <si>
    <t>64.95%</t>
  </si>
  <si>
    <t>41.83%</t>
  </si>
  <si>
    <t>53.72%</t>
  </si>
  <si>
    <t>4.78%</t>
  </si>
  <si>
    <t>16.8%</t>
  </si>
  <si>
    <t>4.46%</t>
  </si>
  <si>
    <t>3.39%</t>
  </si>
  <si>
    <t>10.38%</t>
  </si>
  <si>
    <t>8:49:00</t>
  </si>
  <si>
    <t>4:26:00</t>
  </si>
  <si>
    <t>68.76%</t>
  </si>
  <si>
    <t>53.91%</t>
  </si>
  <si>
    <t>48.58%</t>
  </si>
  <si>
    <t>4.82%</t>
  </si>
  <si>
    <t>18.05%</t>
  </si>
  <si>
    <t>0.18%</t>
  </si>
  <si>
    <t>0.95%</t>
  </si>
  <si>
    <t>21.86%</t>
  </si>
  <si>
    <t>7:44:00</t>
  </si>
  <si>
    <t>5:05:00</t>
  </si>
  <si>
    <t>71.17%</t>
  </si>
  <si>
    <t>58.47%</t>
  </si>
  <si>
    <t>51.32%</t>
  </si>
  <si>
    <t>0.61%</t>
  </si>
  <si>
    <t>21.88%</t>
  </si>
  <si>
    <t>2.49%</t>
  </si>
  <si>
    <t>0.86%</t>
  </si>
  <si>
    <t>36.48%</t>
  </si>
  <si>
    <t>7:04:00</t>
  </si>
  <si>
    <t>4:37:00</t>
  </si>
  <si>
    <t>64.74%</t>
  </si>
  <si>
    <t>55.24%</t>
  </si>
  <si>
    <t>62.92%</t>
  </si>
  <si>
    <t>2.38%</t>
  </si>
  <si>
    <t>13.63%</t>
  </si>
  <si>
    <t>2.07%</t>
  </si>
  <si>
    <t>3.38%</t>
  </si>
  <si>
    <t>37.62%</t>
  </si>
  <si>
    <t>5:18:00</t>
  </si>
  <si>
    <t>61.25%</t>
  </si>
  <si>
    <t>52.23%</t>
  </si>
  <si>
    <t>48.29%</t>
  </si>
  <si>
    <t>2.28%</t>
  </si>
  <si>
    <t>28.15%</t>
  </si>
  <si>
    <t>2.12%</t>
  </si>
  <si>
    <t>3.81%</t>
  </si>
  <si>
    <t>16.71%</t>
  </si>
  <si>
    <t>8:03:00</t>
  </si>
  <si>
    <t>5:01:00</t>
  </si>
  <si>
    <t>70.61%</t>
  </si>
  <si>
    <t>53.54%</t>
  </si>
  <si>
    <t>61.51%</t>
  </si>
  <si>
    <t>1.28%</t>
  </si>
  <si>
    <t>1.67%</t>
  </si>
  <si>
    <t>3.14%</t>
  </si>
  <si>
    <t>14.39%</t>
  </si>
  <si>
    <t>8:41:00</t>
  </si>
  <si>
    <t>5:04:00</t>
  </si>
  <si>
    <t>62.0%</t>
  </si>
  <si>
    <t>65.73%</t>
  </si>
  <si>
    <t>59.31%</t>
  </si>
  <si>
    <t>0.89%</t>
  </si>
  <si>
    <t>17.75%</t>
  </si>
  <si>
    <t>5.0%</t>
  </si>
  <si>
    <t>4.54%</t>
  </si>
  <si>
    <t>17.1%</t>
  </si>
  <si>
    <t>7:19:00</t>
  </si>
  <si>
    <t>5:03:00</t>
  </si>
  <si>
    <t>73.62%</t>
  </si>
  <si>
    <t>46.69%</t>
  </si>
  <si>
    <t>61.32%</t>
  </si>
  <si>
    <t>3.77%</t>
  </si>
  <si>
    <t>23.55%</t>
  </si>
  <si>
    <t>0.91%</t>
  </si>
  <si>
    <t>11.26%</t>
  </si>
  <si>
    <t>8:21:00</t>
  </si>
  <si>
    <t>4:21:00</t>
  </si>
  <si>
    <t>65.6%</t>
  </si>
  <si>
    <t>59.58%</t>
  </si>
  <si>
    <t>60.53%</t>
  </si>
  <si>
    <t>1.12%</t>
  </si>
  <si>
    <t>24.38%</t>
  </si>
  <si>
    <t>3.03%</t>
  </si>
  <si>
    <t>0.97%</t>
  </si>
  <si>
    <t>27.75%</t>
  </si>
  <si>
    <t>7:12:00</t>
  </si>
  <si>
    <t>5:49:00</t>
  </si>
  <si>
    <t>64.99%</t>
  </si>
  <si>
    <t>50.52%</t>
  </si>
  <si>
    <t>50.84%</t>
  </si>
  <si>
    <t>4.41%</t>
  </si>
  <si>
    <t>20.62%</t>
  </si>
  <si>
    <t>2.41%</t>
  </si>
  <si>
    <t>29.52%</t>
  </si>
  <si>
    <t>7:33:00</t>
  </si>
  <si>
    <t>5:23:00</t>
  </si>
  <si>
    <t>73.27%</t>
  </si>
  <si>
    <t>61.5%</t>
  </si>
  <si>
    <t>50.48%</t>
  </si>
  <si>
    <t>10.62%</t>
  </si>
  <si>
    <t>4.44%</t>
  </si>
  <si>
    <t>1.17%</t>
  </si>
  <si>
    <t>28.77%</t>
  </si>
  <si>
    <t>4:59:00</t>
  </si>
  <si>
    <t>73.83%</t>
  </si>
  <si>
    <t>64.86%</t>
  </si>
  <si>
    <t>42.41%</t>
  </si>
  <si>
    <t>0.81%</t>
  </si>
  <si>
    <t>15.23%</t>
  </si>
  <si>
    <t>1.08%</t>
  </si>
  <si>
    <t>1.69%</t>
  </si>
  <si>
    <t>34.15%</t>
  </si>
  <si>
    <t>7:15:00</t>
  </si>
  <si>
    <t>5:50:00</t>
  </si>
  <si>
    <t>77.04%</t>
  </si>
  <si>
    <t>69.58%</t>
  </si>
  <si>
    <t>58.57%</t>
  </si>
  <si>
    <t>4.71%</t>
  </si>
  <si>
    <t>24.66%</t>
  </si>
  <si>
    <t>4.64%</t>
  </si>
  <si>
    <t>33.78%</t>
  </si>
  <si>
    <t>8:07:00</t>
  </si>
  <si>
    <t>61.08%</t>
  </si>
  <si>
    <t>60.41%</t>
  </si>
  <si>
    <t>69.43%</t>
  </si>
  <si>
    <t>0.42%</t>
  </si>
  <si>
    <t>20.32%</t>
  </si>
  <si>
    <t>3.87%</t>
  </si>
  <si>
    <t>4.26%</t>
  </si>
  <si>
    <t>17.02%</t>
  </si>
  <si>
    <t>8:29:00</t>
  </si>
  <si>
    <t>75.94%</t>
  </si>
  <si>
    <t>42.31%</t>
  </si>
  <si>
    <t>54.57%</t>
  </si>
  <si>
    <t>2.4%</t>
  </si>
  <si>
    <t>29.38%</t>
  </si>
  <si>
    <t>1.92%</t>
  </si>
  <si>
    <t>4.14%</t>
  </si>
  <si>
    <t>32.47%</t>
  </si>
  <si>
    <t>5:59:00</t>
  </si>
  <si>
    <t>64.0%</t>
  </si>
  <si>
    <t>48.91%</t>
  </si>
  <si>
    <t>66.14%</t>
  </si>
  <si>
    <t>19.37%</t>
  </si>
  <si>
    <t>0.55%</t>
  </si>
  <si>
    <t>3.42%</t>
  </si>
  <si>
    <t>31.09%</t>
  </si>
  <si>
    <t>8:39:00</t>
  </si>
  <si>
    <t>4:34:00</t>
  </si>
  <si>
    <t>62.79%</t>
  </si>
  <si>
    <t>63.25%</t>
  </si>
  <si>
    <t>44.9%</t>
  </si>
  <si>
    <t>4.45%</t>
  </si>
  <si>
    <t>16.31%</t>
  </si>
  <si>
    <t>0.02%</t>
  </si>
  <si>
    <t>1.58%</t>
  </si>
  <si>
    <t>19.11%</t>
  </si>
  <si>
    <t>8:34:00</t>
  </si>
  <si>
    <t>5:43:00</t>
  </si>
  <si>
    <t>66.38%</t>
  </si>
  <si>
    <t>65.45%</t>
  </si>
  <si>
    <t>4.47%</t>
  </si>
  <si>
    <t>28.0%</t>
  </si>
  <si>
    <t>3.6%</t>
  </si>
  <si>
    <t>1.02%</t>
  </si>
  <si>
    <t>11.95%</t>
  </si>
  <si>
    <t>8:16:00</t>
  </si>
  <si>
    <t>4:30:00</t>
  </si>
  <si>
    <t>65.9%</t>
  </si>
  <si>
    <t>60.38%</t>
  </si>
  <si>
    <t>45.71%</t>
  </si>
  <si>
    <t>3.06%</t>
  </si>
  <si>
    <t>10.49%</t>
  </si>
  <si>
    <t>4.56%</t>
  </si>
  <si>
    <t>0.29%</t>
  </si>
  <si>
    <t>14.29%</t>
  </si>
  <si>
    <t>8:57:00</t>
  </si>
  <si>
    <t>4:19:00</t>
  </si>
  <si>
    <t>76.34%</t>
  </si>
  <si>
    <t>49.33%</t>
  </si>
  <si>
    <t>55.25%</t>
  </si>
  <si>
    <t>3.83%</t>
  </si>
  <si>
    <t>22.87%</t>
  </si>
  <si>
    <t>1.88%</t>
  </si>
  <si>
    <t>13.87%</t>
  </si>
  <si>
    <t>7:25:00</t>
  </si>
  <si>
    <t>5:21:00</t>
  </si>
  <si>
    <t>68.68%</t>
  </si>
  <si>
    <t>45.33%</t>
  </si>
  <si>
    <t>48.82%</t>
  </si>
  <si>
    <t>11.4%</t>
  </si>
  <si>
    <t>2.57%</t>
  </si>
  <si>
    <t>4.35%</t>
  </si>
  <si>
    <t>28.81%</t>
  </si>
  <si>
    <t>8:01:00</t>
  </si>
  <si>
    <t>5:19:00</t>
  </si>
  <si>
    <t>79.38%</t>
  </si>
  <si>
    <t>53.4%</t>
  </si>
  <si>
    <t>48.99%</t>
  </si>
  <si>
    <t>0.76%</t>
  </si>
  <si>
    <t>23.64%</t>
  </si>
  <si>
    <t>1.1%</t>
  </si>
  <si>
    <t>25.62%</t>
  </si>
  <si>
    <t>4:03:00</t>
  </si>
  <si>
    <t>61.56%</t>
  </si>
  <si>
    <t>52.83%</t>
  </si>
  <si>
    <t>53.14%</t>
  </si>
  <si>
    <t>2.95%</t>
  </si>
  <si>
    <t>14.08%</t>
  </si>
  <si>
    <t>3.67%</t>
  </si>
  <si>
    <t>4.75%</t>
  </si>
  <si>
    <t>37.99%</t>
  </si>
  <si>
    <t>8:09:00</t>
  </si>
  <si>
    <t>5:45:00</t>
  </si>
  <si>
    <t>64.02%</t>
  </si>
  <si>
    <t>45.53%</t>
  </si>
  <si>
    <t>45.2%</t>
  </si>
  <si>
    <t>2.53%</t>
  </si>
  <si>
    <t>20.34%</t>
  </si>
  <si>
    <t>3.09%</t>
  </si>
  <si>
    <t>1.3%</t>
  </si>
  <si>
    <t>33.3%</t>
  </si>
  <si>
    <t>8:10:00</t>
  </si>
  <si>
    <t>4:22:00</t>
  </si>
  <si>
    <t>65.75%</t>
  </si>
  <si>
    <t>44.04%</t>
  </si>
  <si>
    <t>63.21%</t>
  </si>
  <si>
    <t>3.89%</t>
  </si>
  <si>
    <t>26.98%</t>
  </si>
  <si>
    <t>1.57%</t>
  </si>
  <si>
    <t>30.68%</t>
  </si>
  <si>
    <t>8:50:00</t>
  </si>
  <si>
    <t>4:14:00</t>
  </si>
  <si>
    <t>77.81%</t>
  </si>
  <si>
    <t>50.14%</t>
  </si>
  <si>
    <t>57.08%</t>
  </si>
  <si>
    <t>3.85%</t>
  </si>
  <si>
    <t>27.52%</t>
  </si>
  <si>
    <t>3.62%</t>
  </si>
  <si>
    <t>34.33%</t>
  </si>
  <si>
    <t>8:54:00</t>
  </si>
  <si>
    <t>4:06:00</t>
  </si>
  <si>
    <t>70.63%</t>
  </si>
  <si>
    <t>45.09%</t>
  </si>
  <si>
    <t>50.59%</t>
  </si>
  <si>
    <t>1.37%</t>
  </si>
  <si>
    <t>19.29%</t>
  </si>
  <si>
    <t>2.17%</t>
  </si>
  <si>
    <t>0.13%</t>
  </si>
  <si>
    <t>23.95%</t>
  </si>
  <si>
    <t>7:03:00</t>
  </si>
  <si>
    <t>5:56:00</t>
  </si>
  <si>
    <t>72.78%</t>
  </si>
  <si>
    <t>60.02%</t>
  </si>
  <si>
    <t>66.35%</t>
  </si>
  <si>
    <t>4.81%</t>
  </si>
  <si>
    <t>12.84%</t>
  </si>
  <si>
    <t>3.12%</t>
  </si>
  <si>
    <t>28.66%</t>
  </si>
  <si>
    <t>8:55:00</t>
  </si>
  <si>
    <t>4:08:00</t>
  </si>
  <si>
    <t>78.75%</t>
  </si>
  <si>
    <t>63.9%</t>
  </si>
  <si>
    <t>47.95%</t>
  </si>
  <si>
    <t>4.74%</t>
  </si>
  <si>
    <t>16.92%</t>
  </si>
  <si>
    <t>2.27%</t>
  </si>
  <si>
    <t>2.78%</t>
  </si>
  <si>
    <t>7:51:00</t>
  </si>
  <si>
    <t>5:40:00</t>
  </si>
  <si>
    <t>66.29%</t>
  </si>
  <si>
    <t>56.12%</t>
  </si>
  <si>
    <t>64.11%</t>
  </si>
  <si>
    <t>3.74%</t>
  </si>
  <si>
    <t>12.57%</t>
  </si>
  <si>
    <t>3.36%</t>
  </si>
  <si>
    <t>0.48%</t>
  </si>
  <si>
    <t>20.75%</t>
  </si>
  <si>
    <t>7:36:00</t>
  </si>
  <si>
    <t>72.05%</t>
  </si>
  <si>
    <t>60.51%</t>
  </si>
  <si>
    <t>56.54%</t>
  </si>
  <si>
    <t>1.79%</t>
  </si>
  <si>
    <t>12.33%</t>
  </si>
  <si>
    <t>1.99%</t>
  </si>
  <si>
    <t>2.56%</t>
  </si>
  <si>
    <t>19.79%</t>
  </si>
  <si>
    <t>7:23:00</t>
  </si>
  <si>
    <t>5:58:00</t>
  </si>
  <si>
    <t>72.41%</t>
  </si>
  <si>
    <t>56.03%</t>
  </si>
  <si>
    <t>57.35%</t>
  </si>
  <si>
    <t>13.69%</t>
  </si>
  <si>
    <t>35.87%</t>
  </si>
  <si>
    <t>7:05:00</t>
  </si>
  <si>
    <t>5:15:00</t>
  </si>
  <si>
    <t>75.51%</t>
  </si>
  <si>
    <t>41.49%</t>
  </si>
  <si>
    <t>0.64%</t>
  </si>
  <si>
    <t>11.12%</t>
  </si>
  <si>
    <t>4.76%</t>
  </si>
  <si>
    <t>39.63%</t>
  </si>
  <si>
    <t>43.5%</t>
  </si>
  <si>
    <t>58.05%</t>
  </si>
  <si>
    <t>4.72%</t>
  </si>
  <si>
    <t>17.36%</t>
  </si>
  <si>
    <t>1.55%</t>
  </si>
  <si>
    <t>2.21%</t>
  </si>
  <si>
    <t>19.1%</t>
  </si>
  <si>
    <t>7:09:00</t>
  </si>
  <si>
    <t>5:48:00</t>
  </si>
  <si>
    <t>74.75%</t>
  </si>
  <si>
    <t>42.71%</t>
  </si>
  <si>
    <t>62.67%</t>
  </si>
  <si>
    <t>0.57%</t>
  </si>
  <si>
    <t>16.87%</t>
  </si>
  <si>
    <t>2.88%</t>
  </si>
  <si>
    <t>0.46%</t>
  </si>
  <si>
    <t>24.08%</t>
  </si>
  <si>
    <t>8:48:00</t>
  </si>
  <si>
    <t>4:25:00</t>
  </si>
  <si>
    <t>67.65%</t>
  </si>
  <si>
    <t>47.53%</t>
  </si>
  <si>
    <t>69.29%</t>
  </si>
  <si>
    <t>4.94%</t>
  </si>
  <si>
    <t>16.05%</t>
  </si>
  <si>
    <t>0.4%</t>
  </si>
  <si>
    <t>1.16%</t>
  </si>
  <si>
    <t>35.2%</t>
  </si>
  <si>
    <t>7:48:00</t>
  </si>
  <si>
    <t>5:31:00</t>
  </si>
  <si>
    <t>60.1%</t>
  </si>
  <si>
    <t>48.79%</t>
  </si>
  <si>
    <t>47.28%</t>
  </si>
  <si>
    <t>3.4%</t>
  </si>
  <si>
    <t>19.46%</t>
  </si>
  <si>
    <t>1.25%</t>
  </si>
  <si>
    <t>23.89%</t>
  </si>
  <si>
    <t>4:23:00</t>
  </si>
  <si>
    <t>72.3%</t>
  </si>
  <si>
    <t>58.8%</t>
  </si>
  <si>
    <t>47.3%</t>
  </si>
  <si>
    <t>3.52%</t>
  </si>
  <si>
    <t>12.38%</t>
  </si>
  <si>
    <t>35.81%</t>
  </si>
  <si>
    <t>62.28%</t>
  </si>
  <si>
    <t>68.01%</t>
  </si>
  <si>
    <t>69.53%</t>
  </si>
  <si>
    <t>17.97%</t>
  </si>
  <si>
    <t>1.53%</t>
  </si>
  <si>
    <t>0.96%</t>
  </si>
  <si>
    <t>18.25%</t>
  </si>
  <si>
    <t>8:45:00</t>
  </si>
  <si>
    <t>64.53%</t>
  </si>
  <si>
    <t>41.89%</t>
  </si>
  <si>
    <t>50.13%</t>
  </si>
  <si>
    <t>1.21%</t>
  </si>
  <si>
    <t>21.77%</t>
  </si>
  <si>
    <t>2.19%</t>
  </si>
  <si>
    <t>20.26%</t>
  </si>
  <si>
    <t>7:45:00</t>
  </si>
  <si>
    <t>5:24:00</t>
  </si>
  <si>
    <t>78.13%</t>
  </si>
  <si>
    <t>47.58%</t>
  </si>
  <si>
    <t>43.04%</t>
  </si>
  <si>
    <t>18.39%</t>
  </si>
  <si>
    <t>4.4%</t>
  </si>
  <si>
    <t>4.16%</t>
  </si>
  <si>
    <t>14.62%</t>
  </si>
  <si>
    <t>7:13:00</t>
  </si>
  <si>
    <t>4:17:00</t>
  </si>
  <si>
    <t>63.0%</t>
  </si>
  <si>
    <t>63.88%</t>
  </si>
  <si>
    <t>57.06%</t>
  </si>
  <si>
    <t>1.54%</t>
  </si>
  <si>
    <t>21.8%</t>
  </si>
  <si>
    <t>0.34%</t>
  </si>
  <si>
    <t>3.02%</t>
  </si>
  <si>
    <t>13.68%</t>
  </si>
  <si>
    <t>7:52:00</t>
  </si>
  <si>
    <t>64.24%</t>
  </si>
  <si>
    <t>67.35%</t>
  </si>
  <si>
    <t>0.93%</t>
  </si>
  <si>
    <t>16.29%</t>
  </si>
  <si>
    <t>2.8%</t>
  </si>
  <si>
    <t>17.93%</t>
  </si>
  <si>
    <t>8:31:00</t>
  </si>
  <si>
    <t>4:20:00</t>
  </si>
  <si>
    <t>63.12%</t>
  </si>
  <si>
    <t>61.57%</t>
  </si>
  <si>
    <t>58.52%</t>
  </si>
  <si>
    <t>0.94%</t>
  </si>
  <si>
    <t>17.4%</t>
  </si>
  <si>
    <t>4.93%</t>
  </si>
  <si>
    <t>0.9%</t>
  </si>
  <si>
    <t>35.56%</t>
  </si>
  <si>
    <t>8:53:00</t>
  </si>
  <si>
    <t>4:15:00</t>
  </si>
  <si>
    <t>63.89%</t>
  </si>
  <si>
    <t>57.4%</t>
  </si>
  <si>
    <t>56.34%</t>
  </si>
  <si>
    <t>0.63%</t>
  </si>
  <si>
    <t>28.86%</t>
  </si>
  <si>
    <t>1.65%</t>
  </si>
  <si>
    <t>31.95%</t>
  </si>
  <si>
    <t>8:22:00</t>
  </si>
  <si>
    <t>64.76%</t>
  </si>
  <si>
    <t>50.81%</t>
  </si>
  <si>
    <t>55.3%</t>
  </si>
  <si>
    <t>1.59%</t>
  </si>
  <si>
    <t>19.88%</t>
  </si>
  <si>
    <t>0.73%</t>
  </si>
  <si>
    <t>3.35%</t>
  </si>
  <si>
    <t>15.03%</t>
  </si>
  <si>
    <t>4:18:00</t>
  </si>
  <si>
    <t>64.73%</t>
  </si>
  <si>
    <t>69.69%</t>
  </si>
  <si>
    <t>68.37%</t>
  </si>
  <si>
    <t>3.47%</t>
  </si>
  <si>
    <t>19.48%</t>
  </si>
  <si>
    <t>2.47%</t>
  </si>
  <si>
    <t>4.55%</t>
  </si>
  <si>
    <t>7:26:00</t>
  </si>
  <si>
    <t>78.24%</t>
  </si>
  <si>
    <t>50.83%</t>
  </si>
  <si>
    <t>68.56%</t>
  </si>
  <si>
    <t>2.29%</t>
  </si>
  <si>
    <t>13.61%</t>
  </si>
  <si>
    <t>3.0%</t>
  </si>
  <si>
    <t>11.8%</t>
  </si>
  <si>
    <t>4:16:00</t>
  </si>
  <si>
    <t>67.67%</t>
  </si>
  <si>
    <t>50.27%</t>
  </si>
  <si>
    <t>50.63%</t>
  </si>
  <si>
    <t>4.52%</t>
  </si>
  <si>
    <t>29.72%</t>
  </si>
  <si>
    <t>4.36%</t>
  </si>
  <si>
    <t>4.39%</t>
  </si>
  <si>
    <t>39.2%</t>
  </si>
  <si>
    <t>7:20:00</t>
  </si>
  <si>
    <t>4:52:00</t>
  </si>
  <si>
    <t>65.74%</t>
  </si>
  <si>
    <t>62.63%</t>
  </si>
  <si>
    <t>45.81%</t>
  </si>
  <si>
    <t>4.13%</t>
  </si>
  <si>
    <t>28.69%</t>
  </si>
  <si>
    <t>3.23%</t>
  </si>
  <si>
    <t>4.62%</t>
  </si>
  <si>
    <t>10.02%</t>
  </si>
  <si>
    <t>7:40:00</t>
  </si>
  <si>
    <t>4:12:00</t>
  </si>
  <si>
    <t>42.84%</t>
  </si>
  <si>
    <t>50.64%</t>
  </si>
  <si>
    <t>2.7%</t>
  </si>
  <si>
    <t>26.88%</t>
  </si>
  <si>
    <t>1.26%</t>
  </si>
  <si>
    <t>35.5%</t>
  </si>
  <si>
    <t>8:33:00</t>
  </si>
  <si>
    <t>61.29%</t>
  </si>
  <si>
    <t>42.65%</t>
  </si>
  <si>
    <t>25.93%</t>
  </si>
  <si>
    <t>0.69%</t>
  </si>
  <si>
    <t>32.86%</t>
  </si>
  <si>
    <t>7:14:00</t>
  </si>
  <si>
    <t>79.57%</t>
  </si>
  <si>
    <t>59.98%</t>
  </si>
  <si>
    <t>64.13%</t>
  </si>
  <si>
    <t>1.0%</t>
  </si>
  <si>
    <t>25.81%</t>
  </si>
  <si>
    <t>0.27%</t>
  </si>
  <si>
    <t>37.26%</t>
  </si>
  <si>
    <t>5:35:00</t>
  </si>
  <si>
    <t>65.78%</t>
  </si>
  <si>
    <t>49.94%</t>
  </si>
  <si>
    <t>61.77%</t>
  </si>
  <si>
    <t>0.53%</t>
  </si>
  <si>
    <t>14.99%</t>
  </si>
  <si>
    <t>3.99%</t>
  </si>
  <si>
    <t>39.03%</t>
  </si>
  <si>
    <t>7:47:00</t>
  </si>
  <si>
    <t>4:04:00</t>
  </si>
  <si>
    <t>62.6%</t>
  </si>
  <si>
    <t>67.21%</t>
  </si>
  <si>
    <t>63.65%</t>
  </si>
  <si>
    <t>1.93%</t>
  </si>
  <si>
    <t>17.81%</t>
  </si>
  <si>
    <t>4.61%</t>
  </si>
  <si>
    <t>4.33%</t>
  </si>
  <si>
    <t>16.47%</t>
  </si>
  <si>
    <t>5:02:00</t>
  </si>
  <si>
    <t>76.83%</t>
  </si>
  <si>
    <t>46.4%</t>
  </si>
  <si>
    <t>62.51%</t>
  </si>
  <si>
    <t>0.1%</t>
  </si>
  <si>
    <t>20.74%</t>
  </si>
  <si>
    <t>1.49%</t>
  </si>
  <si>
    <t>4.73%</t>
  </si>
  <si>
    <t>35.08%</t>
  </si>
  <si>
    <t>7:29:00</t>
  </si>
  <si>
    <t>5:26:00</t>
  </si>
  <si>
    <t>72.68%</t>
  </si>
  <si>
    <t>65.91%</t>
  </si>
  <si>
    <t>40.58%</t>
  </si>
  <si>
    <t>0.66%</t>
  </si>
  <si>
    <t>22.12%</t>
  </si>
  <si>
    <t>4.83%</t>
  </si>
  <si>
    <t>35.47%</t>
  </si>
  <si>
    <t>4:01:00</t>
  </si>
  <si>
    <t>75.34%</t>
  </si>
  <si>
    <t>41.66%</t>
  </si>
  <si>
    <t>56.71%</t>
  </si>
  <si>
    <t>29.63%</t>
  </si>
  <si>
    <t>2.1%</t>
  </si>
  <si>
    <t>3.59%</t>
  </si>
  <si>
    <t>36.71%</t>
  </si>
  <si>
    <t>7:27:00</t>
  </si>
  <si>
    <t>62.89%</t>
  </si>
  <si>
    <t>57.42%</t>
  </si>
  <si>
    <t>4.17%</t>
  </si>
  <si>
    <t>29.42%</t>
  </si>
  <si>
    <t>0.98%</t>
  </si>
  <si>
    <t>4.02%</t>
  </si>
  <si>
    <t>27.74%</t>
  </si>
  <si>
    <t>8:47:00</t>
  </si>
  <si>
    <t>5:41:00</t>
  </si>
  <si>
    <t>60.16%</t>
  </si>
  <si>
    <t>54.94%</t>
  </si>
  <si>
    <t>4.08%</t>
  </si>
  <si>
    <t>16.65%</t>
  </si>
  <si>
    <t>3.24%</t>
  </si>
  <si>
    <t>3.72%</t>
  </si>
  <si>
    <t>37.77%</t>
  </si>
  <si>
    <t>7:35:00</t>
  </si>
  <si>
    <t>5:06:00</t>
  </si>
  <si>
    <t>72.02%</t>
  </si>
  <si>
    <t>60.59%</t>
  </si>
  <si>
    <t>47.11%</t>
  </si>
  <si>
    <t>3.31%</t>
  </si>
  <si>
    <t>24.45%</t>
  </si>
  <si>
    <t>1.13%</t>
  </si>
  <si>
    <t>4.38%</t>
  </si>
  <si>
    <t>14.85%</t>
  </si>
  <si>
    <t>5:00:00</t>
  </si>
  <si>
    <t>76.96%</t>
  </si>
  <si>
    <t>48.08%</t>
  </si>
  <si>
    <t>62.43%</t>
  </si>
  <si>
    <t>0.65%</t>
  </si>
  <si>
    <t>12.47%</t>
  </si>
  <si>
    <t>4.07%</t>
  </si>
  <si>
    <t>0.58%</t>
  </si>
  <si>
    <t>25.5%</t>
  </si>
  <si>
    <t>62.61%</t>
  </si>
  <si>
    <t>59.9%</t>
  </si>
  <si>
    <t>56.11%</t>
  </si>
  <si>
    <t>2.24%</t>
  </si>
  <si>
    <t>26.94%</t>
  </si>
  <si>
    <t>1.31%</t>
  </si>
  <si>
    <t>0.41%</t>
  </si>
  <si>
    <t>24.93%</t>
  </si>
  <si>
    <t>63.87%</t>
  </si>
  <si>
    <t>43.24%</t>
  </si>
  <si>
    <t>69.1%</t>
  </si>
  <si>
    <t>2.94%</t>
  </si>
  <si>
    <t>21.45%</t>
  </si>
  <si>
    <t>1.36%</t>
  </si>
  <si>
    <t>23.26%</t>
  </si>
  <si>
    <t>7:22:00</t>
  </si>
  <si>
    <t>5:57:00</t>
  </si>
  <si>
    <t>63.93%</t>
  </si>
  <si>
    <t>50.86%</t>
  </si>
  <si>
    <t>1.71%</t>
  </si>
  <si>
    <t>27.07%</t>
  </si>
  <si>
    <t>4.63%</t>
  </si>
  <si>
    <t>2.55%</t>
  </si>
  <si>
    <t>19.67%</t>
  </si>
  <si>
    <t>8:46:00</t>
  </si>
  <si>
    <t>62.66%</t>
  </si>
  <si>
    <t>43.45%</t>
  </si>
  <si>
    <t>41.95%</t>
  </si>
  <si>
    <t>11.08%</t>
  </si>
  <si>
    <t>0.99%</t>
  </si>
  <si>
    <t>1.8%</t>
  </si>
  <si>
    <t>31.76%</t>
  </si>
  <si>
    <t>7:07:00</t>
  </si>
  <si>
    <t>69.45%</t>
  </si>
  <si>
    <t>61.21%</t>
  </si>
  <si>
    <t>4.24%</t>
  </si>
  <si>
    <t>20.39%</t>
  </si>
  <si>
    <t>37.37%</t>
  </si>
  <si>
    <t>7:37:00</t>
  </si>
  <si>
    <t>5:20:00</t>
  </si>
  <si>
    <t>65.26%</t>
  </si>
  <si>
    <t>66.17%</t>
  </si>
  <si>
    <t>40.93%</t>
  </si>
  <si>
    <t>4.97%</t>
  </si>
  <si>
    <t>13.49%</t>
  </si>
  <si>
    <t>2.04%</t>
  </si>
  <si>
    <t>24.75%</t>
  </si>
  <si>
    <t>5:08:00</t>
  </si>
  <si>
    <t>51.49%</t>
  </si>
  <si>
    <t>65.04%</t>
  </si>
  <si>
    <t>17.08%</t>
  </si>
  <si>
    <t>3.28%</t>
  </si>
  <si>
    <t>0.35%</t>
  </si>
  <si>
    <t>23.16%</t>
  </si>
  <si>
    <t>78.62%</t>
  </si>
  <si>
    <t>55.33%</t>
  </si>
  <si>
    <t>4.34%</t>
  </si>
  <si>
    <t>26.76%</t>
  </si>
  <si>
    <t>0.01%</t>
  </si>
  <si>
    <t>27.09%</t>
  </si>
  <si>
    <t>5:16:00</t>
  </si>
  <si>
    <t>71.0%</t>
  </si>
  <si>
    <t>55.22%</t>
  </si>
  <si>
    <t>59.71%</t>
  </si>
  <si>
    <t>3.17%</t>
  </si>
  <si>
    <t>13.46%</t>
  </si>
  <si>
    <t>1.89%</t>
  </si>
  <si>
    <t>2.11%</t>
  </si>
  <si>
    <t>14.46%</t>
  </si>
  <si>
    <t>7:42:00</t>
  </si>
  <si>
    <t>5:33:00</t>
  </si>
  <si>
    <t>67.66%</t>
  </si>
  <si>
    <t>61.36%</t>
  </si>
  <si>
    <t>62.47%</t>
  </si>
  <si>
    <t>4.8%</t>
  </si>
  <si>
    <t>18.01%</t>
  </si>
  <si>
    <t>2.33%</t>
  </si>
  <si>
    <t>4.04%</t>
  </si>
  <si>
    <t>16.45%</t>
  </si>
  <si>
    <t>7:49:00</t>
  </si>
  <si>
    <t>5:29:00</t>
  </si>
  <si>
    <t>73.9%</t>
  </si>
  <si>
    <t>40.66%</t>
  </si>
  <si>
    <t>50.8%</t>
  </si>
  <si>
    <t>0.54%</t>
  </si>
  <si>
    <t>21.39%</t>
  </si>
  <si>
    <t>1.34%</t>
  </si>
  <si>
    <t>29.31%</t>
  </si>
  <si>
    <t>8:02:00</t>
  </si>
  <si>
    <t>5:46:00</t>
  </si>
  <si>
    <t>61.01%</t>
  </si>
  <si>
    <t>65.24%</t>
  </si>
  <si>
    <t>40.95%</t>
  </si>
  <si>
    <t>20.03%</t>
  </si>
  <si>
    <t>2.61%</t>
  </si>
  <si>
    <t>28.18%</t>
  </si>
  <si>
    <t>71.6%</t>
  </si>
  <si>
    <t>53.22%</t>
  </si>
  <si>
    <t>66.84%</t>
  </si>
  <si>
    <t>2.26%</t>
  </si>
  <si>
    <t>17.03%</t>
  </si>
  <si>
    <t>4.23%</t>
  </si>
  <si>
    <t>18.49%</t>
  </si>
  <si>
    <t>8:19:00</t>
  </si>
  <si>
    <t>6:00:00</t>
  </si>
  <si>
    <t>75.31%</t>
  </si>
  <si>
    <t>49.56%</t>
  </si>
  <si>
    <t>42.83%</t>
  </si>
  <si>
    <t>0.79%</t>
  </si>
  <si>
    <t>12.48%</t>
  </si>
  <si>
    <t>1.45%</t>
  </si>
  <si>
    <t>36.76%</t>
  </si>
  <si>
    <t>62.16%</t>
  </si>
  <si>
    <t>49.67%</t>
  </si>
  <si>
    <t>64.1%</t>
  </si>
  <si>
    <t>2.72%</t>
  </si>
  <si>
    <t>11.97%</t>
  </si>
  <si>
    <t>21.92%</t>
  </si>
  <si>
    <t>8:42:00</t>
  </si>
  <si>
    <t>60.49%</t>
  </si>
  <si>
    <t>66.43%</t>
  </si>
  <si>
    <t>49.08%</t>
  </si>
  <si>
    <t>1.14%</t>
  </si>
  <si>
    <t>17.99%</t>
  </si>
  <si>
    <t>1.42%</t>
  </si>
  <si>
    <t>3.7%</t>
  </si>
  <si>
    <t>7:34:00</t>
  </si>
  <si>
    <t>4:05:00</t>
  </si>
  <si>
    <t>65.23%</t>
  </si>
  <si>
    <t>59.41%</t>
  </si>
  <si>
    <t>49.43%</t>
  </si>
  <si>
    <t>0.3%</t>
  </si>
  <si>
    <t>23.61%</t>
  </si>
  <si>
    <t>2.15%</t>
  </si>
  <si>
    <t>2.92%</t>
  </si>
  <si>
    <t>35.88%</t>
  </si>
  <si>
    <t>7:39:00</t>
  </si>
  <si>
    <t>4:27:00</t>
  </si>
  <si>
    <t>49.87%</t>
  </si>
  <si>
    <t>58.69%</t>
  </si>
  <si>
    <t>1.63%</t>
  </si>
  <si>
    <t>19.21%</t>
  </si>
  <si>
    <t>3.49%</t>
  </si>
  <si>
    <t>29.07%</t>
  </si>
  <si>
    <t>8:37:00</t>
  </si>
  <si>
    <t>66.16%</t>
  </si>
  <si>
    <t>48.75%</t>
  </si>
  <si>
    <t>41.21%</t>
  </si>
  <si>
    <t>2.2%</t>
  </si>
  <si>
    <t>11.44%</t>
  </si>
  <si>
    <t>1.66%</t>
  </si>
  <si>
    <t>21.55%</t>
  </si>
  <si>
    <t>8:25:00</t>
  </si>
  <si>
    <t>4:29:00</t>
  </si>
  <si>
    <t>68.58%</t>
  </si>
  <si>
    <t>67.68%</t>
  </si>
  <si>
    <t>45.65%</t>
  </si>
  <si>
    <t>2.42%</t>
  </si>
  <si>
    <t>33.25%</t>
  </si>
  <si>
    <t>4:39:00</t>
  </si>
  <si>
    <t>54.28%</t>
  </si>
  <si>
    <t>59.27%</t>
  </si>
  <si>
    <t>12.15%</t>
  </si>
  <si>
    <t>1.41%</t>
  </si>
  <si>
    <t>31.78%</t>
  </si>
  <si>
    <t>8:14:00</t>
  </si>
  <si>
    <t>62.37%</t>
  </si>
  <si>
    <t>56.77%</t>
  </si>
  <si>
    <t>51.15%</t>
  </si>
  <si>
    <t>22.23%</t>
  </si>
  <si>
    <t>20.04%</t>
  </si>
  <si>
    <t>5:32:00</t>
  </si>
  <si>
    <t>78.11%</t>
  </si>
  <si>
    <t>58.84%</t>
  </si>
  <si>
    <t>1.83%</t>
  </si>
  <si>
    <t>12.01%</t>
  </si>
  <si>
    <t>32.65%</t>
  </si>
  <si>
    <t>4:35:00</t>
  </si>
  <si>
    <t>63.27%</t>
  </si>
  <si>
    <t>49.21%</t>
  </si>
  <si>
    <t>65.7%</t>
  </si>
  <si>
    <t>3.26%</t>
  </si>
  <si>
    <t>29.81%</t>
  </si>
  <si>
    <t>21.72%</t>
  </si>
  <si>
    <t>8:15:00</t>
  </si>
  <si>
    <t>76.42%</t>
  </si>
  <si>
    <t>60.21%</t>
  </si>
  <si>
    <t>46.85%</t>
  </si>
  <si>
    <t>1.23%</t>
  </si>
  <si>
    <t>23.36%</t>
  </si>
  <si>
    <t>0.37%</t>
  </si>
  <si>
    <t>14.68%</t>
  </si>
  <si>
    <t>4:36:00</t>
  </si>
  <si>
    <t>79.9%</t>
  </si>
  <si>
    <t>42.81%</t>
  </si>
  <si>
    <t>55.75%</t>
  </si>
  <si>
    <t>11.16%</t>
  </si>
  <si>
    <t>0.23%</t>
  </si>
  <si>
    <t>0.82%</t>
  </si>
  <si>
    <t>37.53%</t>
  </si>
  <si>
    <t>8:40:00</t>
  </si>
  <si>
    <t>4:28:00</t>
  </si>
  <si>
    <t>65.36%</t>
  </si>
  <si>
    <t>61.74%</t>
  </si>
  <si>
    <t>42.98%</t>
  </si>
  <si>
    <t>2.81%</t>
  </si>
  <si>
    <t>22.82%</t>
  </si>
  <si>
    <t>4.92%</t>
  </si>
  <si>
    <t>33.07%</t>
  </si>
  <si>
    <t>8:43:00</t>
  </si>
  <si>
    <t>4:51:00</t>
  </si>
  <si>
    <t>67.7%</t>
  </si>
  <si>
    <t>66.54%</t>
  </si>
  <si>
    <t>57.3%</t>
  </si>
  <si>
    <t>17.14%</t>
  </si>
  <si>
    <t>0.31%</t>
  </si>
  <si>
    <t>21.67%</t>
  </si>
  <si>
    <t>4:47:00</t>
  </si>
  <si>
    <t>68.71%</t>
  </si>
  <si>
    <t>65.41%</t>
  </si>
  <si>
    <t>28.03%</t>
  </si>
  <si>
    <t>2.74%</t>
  </si>
  <si>
    <t>2.76%</t>
  </si>
  <si>
    <t>32.48%</t>
  </si>
  <si>
    <t>79.55%</t>
  </si>
  <si>
    <t>44.06%</t>
  </si>
  <si>
    <t>46.16%</t>
  </si>
  <si>
    <t>4.11%</t>
  </si>
  <si>
    <t>28.05%</t>
  </si>
  <si>
    <t>3.05%</t>
  </si>
  <si>
    <t>11.04%</t>
  </si>
  <si>
    <t>8:58:00</t>
  </si>
  <si>
    <t>62.68%</t>
  </si>
  <si>
    <t>44.1%</t>
  </si>
  <si>
    <t>4.87%</t>
  </si>
  <si>
    <t>28.68%</t>
  </si>
  <si>
    <t>27.17%</t>
  </si>
  <si>
    <t>62.01%</t>
  </si>
  <si>
    <t>69.38%</t>
  </si>
  <si>
    <t>51.73%</t>
  </si>
  <si>
    <t>3.27%</t>
  </si>
  <si>
    <t>4.25%</t>
  </si>
  <si>
    <t>10.13%</t>
  </si>
  <si>
    <t>7:57:00</t>
  </si>
  <si>
    <t>4:09:00</t>
  </si>
  <si>
    <t>70.02%</t>
  </si>
  <si>
    <t>64.77%</t>
  </si>
  <si>
    <t>56.09%</t>
  </si>
  <si>
    <t>0.43%</t>
  </si>
  <si>
    <t>23.65%</t>
  </si>
  <si>
    <t>4.12%</t>
  </si>
  <si>
    <t>29.17%</t>
  </si>
  <si>
    <t>5:42:00</t>
  </si>
  <si>
    <t>70.27%</t>
  </si>
  <si>
    <t>64.8%</t>
  </si>
  <si>
    <t>54.63%</t>
  </si>
  <si>
    <t>1.15%</t>
  </si>
  <si>
    <t>27.72%</t>
  </si>
  <si>
    <t>11.93%</t>
  </si>
  <si>
    <t>7:28:00</t>
  </si>
  <si>
    <t>4:44:00</t>
  </si>
  <si>
    <t>71.84%</t>
  </si>
  <si>
    <t>42.23%</t>
  </si>
  <si>
    <t>47.23%</t>
  </si>
  <si>
    <t>3.96%</t>
  </si>
  <si>
    <t>29.55%</t>
  </si>
  <si>
    <t>1.96%</t>
  </si>
  <si>
    <t>10.46%</t>
  </si>
  <si>
    <t>7:54:00</t>
  </si>
  <si>
    <t>70.05%</t>
  </si>
  <si>
    <t>52.37%</t>
  </si>
  <si>
    <t>43.12%</t>
  </si>
  <si>
    <t>1.62%</t>
  </si>
  <si>
    <t>24.81%</t>
  </si>
  <si>
    <t>2.9%</t>
  </si>
  <si>
    <t>31.19%</t>
  </si>
  <si>
    <t>5:09:00</t>
  </si>
  <si>
    <t>68.42%</t>
  </si>
  <si>
    <t>67.13%</t>
  </si>
  <si>
    <t>2.43%</t>
  </si>
  <si>
    <t>21.0%</t>
  </si>
  <si>
    <t>3.95%</t>
  </si>
  <si>
    <t>13.17%</t>
  </si>
  <si>
    <t>4:07:00</t>
  </si>
  <si>
    <t>77.23%</t>
  </si>
  <si>
    <t>44.6%</t>
  </si>
  <si>
    <t>65.52%</t>
  </si>
  <si>
    <t>0.88%</t>
  </si>
  <si>
    <t>16.02%</t>
  </si>
  <si>
    <t>16.37%</t>
  </si>
  <si>
    <t>7:02:00</t>
  </si>
  <si>
    <t>71.81%</t>
  </si>
  <si>
    <t>57.85%</t>
  </si>
  <si>
    <t>63.05%</t>
  </si>
  <si>
    <t>2.45%</t>
  </si>
  <si>
    <t>12.13%</t>
  </si>
  <si>
    <t>0.38%</t>
  </si>
  <si>
    <t>4:55:00</t>
  </si>
  <si>
    <t>63.78%</t>
  </si>
  <si>
    <t>53.38%</t>
  </si>
  <si>
    <t>65.67%</t>
  </si>
  <si>
    <t>1.9%</t>
  </si>
  <si>
    <t>29.65%</t>
  </si>
  <si>
    <t>4.06%</t>
  </si>
  <si>
    <t>2.64%</t>
  </si>
  <si>
    <t>38.84%</t>
  </si>
  <si>
    <t>74.16%</t>
  </si>
  <si>
    <t>42.58%</t>
  </si>
  <si>
    <t>60.69%</t>
  </si>
  <si>
    <t>1.86%</t>
  </si>
  <si>
    <t>16.04%</t>
  </si>
  <si>
    <t>4.53%</t>
  </si>
  <si>
    <t>20.23%</t>
  </si>
  <si>
    <t>67.46%</t>
  </si>
  <si>
    <t>67.37%</t>
  </si>
  <si>
    <t>54.32%</t>
  </si>
  <si>
    <t>20.13%</t>
  </si>
  <si>
    <t>4.65%</t>
  </si>
  <si>
    <t>17.68%</t>
  </si>
  <si>
    <t>60.55%</t>
  </si>
  <si>
    <t>59.3%</t>
  </si>
  <si>
    <t>51.41%</t>
  </si>
  <si>
    <t>24.79%</t>
  </si>
  <si>
    <t>3.98%</t>
  </si>
  <si>
    <t>1.7%</t>
  </si>
  <si>
    <t>28.01%</t>
  </si>
  <si>
    <t>67.48%</t>
  </si>
  <si>
    <t>68.14%</t>
  </si>
  <si>
    <t>1.76%</t>
  </si>
  <si>
    <t>18.53%</t>
  </si>
  <si>
    <t>1.24%</t>
  </si>
  <si>
    <t>38.72%</t>
  </si>
  <si>
    <t>78.78%</t>
  </si>
  <si>
    <t>65.84%</t>
  </si>
  <si>
    <t>66.27%</t>
  </si>
  <si>
    <t>29.05%</t>
  </si>
  <si>
    <t>7:59:00</t>
  </si>
  <si>
    <t>44.4%</t>
  </si>
  <si>
    <t>49.8%</t>
  </si>
  <si>
    <t>0.84%</t>
  </si>
  <si>
    <t>29.58%</t>
  </si>
  <si>
    <t>1.43%</t>
  </si>
  <si>
    <t>4.86%</t>
  </si>
  <si>
    <t>18.94%</t>
  </si>
  <si>
    <t>7:21:00</t>
  </si>
  <si>
    <t>5:25:00</t>
  </si>
  <si>
    <t>61.89%</t>
  </si>
  <si>
    <t>58.76%</t>
  </si>
  <si>
    <t>53.27%</t>
  </si>
  <si>
    <t>4.2%</t>
  </si>
  <si>
    <t>17.0%</t>
  </si>
  <si>
    <t>28.36%</t>
  </si>
  <si>
    <t>8:52:00</t>
  </si>
  <si>
    <t>63.83%</t>
  </si>
  <si>
    <t>58.53%</t>
  </si>
  <si>
    <t>61.65%</t>
  </si>
  <si>
    <t>4.5%</t>
  </si>
  <si>
    <t>2.37%</t>
  </si>
  <si>
    <t>0.72%</t>
  </si>
  <si>
    <t>33.15%</t>
  </si>
  <si>
    <t>54.11%</t>
  </si>
  <si>
    <t>40.63%</t>
  </si>
  <si>
    <t>1.11%</t>
  </si>
  <si>
    <t>20.11%</t>
  </si>
  <si>
    <t>28.94%</t>
  </si>
  <si>
    <t>4:11:00</t>
  </si>
  <si>
    <t>73.17%</t>
  </si>
  <si>
    <t>49.27%</t>
  </si>
  <si>
    <t>56.41%</t>
  </si>
  <si>
    <t>1.22%</t>
  </si>
  <si>
    <t>22.07%</t>
  </si>
  <si>
    <t>14.44%</t>
  </si>
  <si>
    <t>4:53:00</t>
  </si>
  <si>
    <t>61.93%</t>
  </si>
  <si>
    <t>65.92%</t>
  </si>
  <si>
    <t>43.63%</t>
  </si>
  <si>
    <t>3.2%</t>
  </si>
  <si>
    <t>12.08%</t>
  </si>
  <si>
    <t>2.13%</t>
  </si>
  <si>
    <t>25.39%</t>
  </si>
  <si>
    <t>5:17:00</t>
  </si>
  <si>
    <t>66.06%</t>
  </si>
  <si>
    <t>43.47%</t>
  </si>
  <si>
    <t>44.38%</t>
  </si>
  <si>
    <t>17.64%</t>
  </si>
  <si>
    <t>3.63%</t>
  </si>
  <si>
    <t>30.18%</t>
  </si>
  <si>
    <t>75.59%</t>
  </si>
  <si>
    <t>66.94%</t>
  </si>
  <si>
    <t>1.39%</t>
  </si>
  <si>
    <t>15.97%</t>
  </si>
  <si>
    <t>32.25%</t>
  </si>
  <si>
    <t>4:42:00</t>
  </si>
  <si>
    <t>79.8%</t>
  </si>
  <si>
    <t>49.3%</t>
  </si>
  <si>
    <t>27.98%</t>
  </si>
  <si>
    <t>39.77%</t>
  </si>
  <si>
    <t>5:37:00</t>
  </si>
  <si>
    <t>68.89%</t>
  </si>
  <si>
    <t>45.44%</t>
  </si>
  <si>
    <t>3.13%</t>
  </si>
  <si>
    <t>23.66%</t>
  </si>
  <si>
    <t>3.91%</t>
  </si>
  <si>
    <t>4.03%</t>
  </si>
  <si>
    <t>28.9%</t>
  </si>
  <si>
    <t>7:50:00</t>
  </si>
  <si>
    <t>71.83%</t>
  </si>
  <si>
    <t>68.08%</t>
  </si>
  <si>
    <t>54.76%</t>
  </si>
  <si>
    <t>4.1%</t>
  </si>
  <si>
    <t>21.21%</t>
  </si>
  <si>
    <t>1.38%</t>
  </si>
  <si>
    <t>24.41%</t>
  </si>
  <si>
    <t>4:10:00</t>
  </si>
  <si>
    <t>71.86%</t>
  </si>
  <si>
    <t>53.03%</t>
  </si>
  <si>
    <t>63.67%</t>
  </si>
  <si>
    <t>21.56%</t>
  </si>
  <si>
    <t>2.58%</t>
  </si>
  <si>
    <t>4.05%</t>
  </si>
  <si>
    <t>18.97%</t>
  </si>
  <si>
    <t>67.72%</t>
  </si>
  <si>
    <t>46.07%</t>
  </si>
  <si>
    <t>42.89%</t>
  </si>
  <si>
    <t>3.34%</t>
  </si>
  <si>
    <t>38.63%</t>
  </si>
  <si>
    <t>67.2%</t>
  </si>
  <si>
    <t>41.05%</t>
  </si>
  <si>
    <t>51.27%</t>
  </si>
  <si>
    <t>4.21%</t>
  </si>
  <si>
    <t>10.58%</t>
  </si>
  <si>
    <t>3.71%</t>
  </si>
  <si>
    <t>13.4%</t>
  </si>
  <si>
    <t>7:10:00</t>
  </si>
  <si>
    <t>62.41%</t>
  </si>
  <si>
    <t>53.57%</t>
  </si>
  <si>
    <t>18.9%</t>
  </si>
  <si>
    <t>4.7%</t>
  </si>
  <si>
    <t>3.76%</t>
  </si>
  <si>
    <t>37.07%</t>
  </si>
  <si>
    <t>7:18:00</t>
  </si>
  <si>
    <t>77.32%</t>
  </si>
  <si>
    <t>63.16%</t>
  </si>
  <si>
    <t>69.35%</t>
  </si>
  <si>
    <t>3.29%</t>
  </si>
  <si>
    <t>10.21%</t>
  </si>
  <si>
    <t>39.08%</t>
  </si>
  <si>
    <t>5:54:00</t>
  </si>
  <si>
    <t>73.43%</t>
  </si>
  <si>
    <t>54.2%</t>
  </si>
  <si>
    <t>66.04%</t>
  </si>
  <si>
    <t>13.65%</t>
  </si>
  <si>
    <t>3.79%</t>
  </si>
  <si>
    <t>18.45%</t>
  </si>
  <si>
    <t>75.01%</t>
  </si>
  <si>
    <t>58.07%</t>
  </si>
  <si>
    <t>51.58%</t>
  </si>
  <si>
    <t>2.18%</t>
  </si>
  <si>
    <t>10.31%</t>
  </si>
  <si>
    <t>3.53%</t>
  </si>
  <si>
    <t>27.26%</t>
  </si>
  <si>
    <t>74.47%</t>
  </si>
  <si>
    <t>54.69%</t>
  </si>
  <si>
    <t>47.51%</t>
  </si>
  <si>
    <t>16.49%</t>
  </si>
  <si>
    <t>4.28%</t>
  </si>
  <si>
    <t>27.96%</t>
  </si>
  <si>
    <t>8:13:00</t>
  </si>
  <si>
    <t>47.02%</t>
  </si>
  <si>
    <t>0.45%</t>
  </si>
  <si>
    <t>15.17%</t>
  </si>
  <si>
    <t>25.22%</t>
  </si>
  <si>
    <t>8:23:00</t>
  </si>
  <si>
    <t>4:38:00</t>
  </si>
  <si>
    <t>69.9%</t>
  </si>
  <si>
    <t>40.19%</t>
  </si>
  <si>
    <t>66.74%</t>
  </si>
  <si>
    <t>22.47%</t>
  </si>
  <si>
    <t>0.17%</t>
  </si>
  <si>
    <t>1.33%</t>
  </si>
  <si>
    <t>33.52%</t>
  </si>
  <si>
    <t>65.85%</t>
  </si>
  <si>
    <t>62.12%</t>
  </si>
  <si>
    <t>66.41%</t>
  </si>
  <si>
    <t>1.84%</t>
  </si>
  <si>
    <t>17.92%</t>
  </si>
  <si>
    <t>3.33%</t>
  </si>
  <si>
    <t>13.41%</t>
  </si>
  <si>
    <t>62.13%</t>
  </si>
  <si>
    <t>65.88%</t>
  </si>
  <si>
    <t>65.27%</t>
  </si>
  <si>
    <t>2.5%</t>
  </si>
  <si>
    <t>10.27%</t>
  </si>
  <si>
    <t>5:51:00</t>
  </si>
  <si>
    <t>69.48%</t>
  </si>
  <si>
    <t>52.13%</t>
  </si>
  <si>
    <t>67.6%</t>
  </si>
  <si>
    <t>16.23%</t>
  </si>
  <si>
    <t>2.02%</t>
  </si>
  <si>
    <t>39.67%</t>
  </si>
  <si>
    <t>41.77%</t>
  </si>
  <si>
    <t>54.9%</t>
  </si>
  <si>
    <t>4.15%</t>
  </si>
  <si>
    <t>19.83%</t>
  </si>
  <si>
    <t>8:04:00</t>
  </si>
  <si>
    <t>79.03%</t>
  </si>
  <si>
    <t>54.37%</t>
  </si>
  <si>
    <t>49.18%</t>
  </si>
  <si>
    <t>16.39%</t>
  </si>
  <si>
    <t>4.79%</t>
  </si>
  <si>
    <t>31.48%</t>
  </si>
  <si>
    <t>8:28:00</t>
  </si>
  <si>
    <t>76.92%</t>
  </si>
  <si>
    <t>44.51%</t>
  </si>
  <si>
    <t>55.68%</t>
  </si>
  <si>
    <t>2.87%</t>
  </si>
  <si>
    <t>26.92%</t>
  </si>
  <si>
    <t>3.66%</t>
  </si>
  <si>
    <t>1.44%</t>
  </si>
  <si>
    <t>23.35%</t>
  </si>
  <si>
    <t>78.38%</t>
  </si>
  <si>
    <t>62.57%</t>
  </si>
  <si>
    <t>26.43%</t>
  </si>
  <si>
    <t>3.54%</t>
  </si>
  <si>
    <t>4.18%</t>
  </si>
  <si>
    <t>26.73%</t>
  </si>
  <si>
    <t>7:06:00</t>
  </si>
  <si>
    <t>78.73%</t>
  </si>
  <si>
    <t>51.23%</t>
  </si>
  <si>
    <t>68.16%</t>
  </si>
  <si>
    <t>2.32%</t>
  </si>
  <si>
    <t>2.51%</t>
  </si>
  <si>
    <t>20.66%</t>
  </si>
  <si>
    <t>7:43:00</t>
  </si>
  <si>
    <t>63.36%</t>
  </si>
  <si>
    <t>44.2%</t>
  </si>
  <si>
    <t>58.56%</t>
  </si>
  <si>
    <t>13.7%</t>
  </si>
  <si>
    <t>2.98%</t>
  </si>
  <si>
    <t>26.84%</t>
  </si>
  <si>
    <t>4:48:00</t>
  </si>
  <si>
    <t>65.65%</t>
  </si>
  <si>
    <t>66.44%</t>
  </si>
  <si>
    <t>1.6%</t>
  </si>
  <si>
    <t>27.5%</t>
  </si>
  <si>
    <t>2.52%</t>
  </si>
  <si>
    <t>35.24%</t>
  </si>
  <si>
    <t>5:36:00</t>
  </si>
  <si>
    <t>62.11%</t>
  </si>
  <si>
    <t>47.39%</t>
  </si>
  <si>
    <t>54.7%</t>
  </si>
  <si>
    <t>16.33%</t>
  </si>
  <si>
    <t>20.17%</t>
  </si>
  <si>
    <t>63.95%</t>
  </si>
  <si>
    <t>45.08%</t>
  </si>
  <si>
    <t>15.99%</t>
  </si>
  <si>
    <t>0.7%</t>
  </si>
  <si>
    <t>23.92%</t>
  </si>
  <si>
    <t>74.15%</t>
  </si>
  <si>
    <t>43.7%</t>
  </si>
  <si>
    <t>44.79%</t>
  </si>
  <si>
    <t>26.15%</t>
  </si>
  <si>
    <t>3.11%</t>
  </si>
  <si>
    <t>36.43%</t>
  </si>
  <si>
    <t>71.39%</t>
  </si>
  <si>
    <t>51.97%</t>
  </si>
  <si>
    <t>20.85%</t>
  </si>
  <si>
    <t>0.06%</t>
  </si>
  <si>
    <t>2.34%</t>
  </si>
  <si>
    <t>34.35%</t>
  </si>
  <si>
    <t>79.43%</t>
  </si>
  <si>
    <t>47.24%</t>
  </si>
  <si>
    <t>45.5%</t>
  </si>
  <si>
    <t>24.05%</t>
  </si>
  <si>
    <t>0.08%</t>
  </si>
  <si>
    <t>34.81%</t>
  </si>
  <si>
    <t>8:11:00</t>
  </si>
  <si>
    <t>64.56%</t>
  </si>
  <si>
    <t>68.95%</t>
  </si>
  <si>
    <t>13.9%</t>
  </si>
  <si>
    <t>14.77%</t>
  </si>
  <si>
    <t>61.03%</t>
  </si>
  <si>
    <t>65.89%</t>
  </si>
  <si>
    <t>54.05%</t>
  </si>
  <si>
    <t>3.88%</t>
  </si>
  <si>
    <t>11.94%</t>
  </si>
  <si>
    <t>2.54%</t>
  </si>
  <si>
    <t>23.68%</t>
  </si>
  <si>
    <t>7:17:00</t>
  </si>
  <si>
    <t>4:24:00</t>
  </si>
  <si>
    <t>60.0%</t>
  </si>
  <si>
    <t>55.97%</t>
  </si>
  <si>
    <t>47.47%</t>
  </si>
  <si>
    <t>1.75%</t>
  </si>
  <si>
    <t>2.77%</t>
  </si>
  <si>
    <t>11.49%</t>
  </si>
  <si>
    <t>74.43%</t>
  </si>
  <si>
    <t>53.9%</t>
  </si>
  <si>
    <t>52.47%</t>
  </si>
  <si>
    <t>29.1%</t>
  </si>
  <si>
    <t>0.26%</t>
  </si>
  <si>
    <t>4.99%</t>
  </si>
  <si>
    <t>22.06%</t>
  </si>
  <si>
    <t>8:56:00</t>
  </si>
  <si>
    <t>71.96%</t>
  </si>
  <si>
    <t>59.17%</t>
  </si>
  <si>
    <t>52.35%</t>
  </si>
  <si>
    <t>21.14%</t>
  </si>
  <si>
    <t>31.7%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</si>
  <si>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</si>
  <si>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</si>
  <si>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</si>
  <si>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</si>
  <si>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</si>
  <si>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</si>
  <si>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</si>
  <si>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Unattended Time</t>
  </si>
  <si>
    <t>5.91%</t>
  </si>
  <si>
    <t>8.45%</t>
  </si>
  <si>
    <t>9.34%</t>
  </si>
  <si>
    <t>8.92%</t>
  </si>
  <si>
    <t>1.06%</t>
  </si>
  <si>
    <t>17.09%</t>
  </si>
  <si>
    <t>5.69%</t>
  </si>
  <si>
    <t>6.41%</t>
  </si>
  <si>
    <t>1.64%</t>
  </si>
  <si>
    <t>8.06%</t>
  </si>
  <si>
    <t>7.05%</t>
  </si>
  <si>
    <t>1.32%</t>
  </si>
  <si>
    <t>5.46%</t>
  </si>
  <si>
    <t>1.5%</t>
  </si>
  <si>
    <t>2.86%</t>
  </si>
  <si>
    <t>19.86%</t>
  </si>
  <si>
    <t>6.17%</t>
  </si>
  <si>
    <t>1.78%</t>
  </si>
  <si>
    <t>19.09%</t>
  </si>
  <si>
    <t>9.25%</t>
  </si>
  <si>
    <t>5.26%</t>
  </si>
  <si>
    <t>1.04%</t>
  </si>
  <si>
    <t>19.77%</t>
  </si>
  <si>
    <t>9.53%</t>
  </si>
  <si>
    <t>11.68%</t>
  </si>
  <si>
    <t>9.12%</t>
  </si>
  <si>
    <t>13.22%</t>
  </si>
  <si>
    <t>5.44%</t>
  </si>
  <si>
    <t>9.96%</t>
  </si>
  <si>
    <t>18.34%</t>
  </si>
  <si>
    <t>5.18%</t>
  </si>
  <si>
    <t>9.35%</t>
  </si>
  <si>
    <t>7.96%</t>
  </si>
  <si>
    <t>2.91%</t>
  </si>
  <si>
    <t>7.46%</t>
  </si>
  <si>
    <t>2.59%</t>
  </si>
  <si>
    <t>7.1%</t>
  </si>
  <si>
    <t>7.5%</t>
  </si>
  <si>
    <t>1.87%</t>
  </si>
  <si>
    <t>10.18%</t>
  </si>
  <si>
    <t>3.82%</t>
  </si>
  <si>
    <t>6.49%</t>
  </si>
  <si>
    <t>9.15%</t>
  </si>
  <si>
    <t>6.61%</t>
  </si>
  <si>
    <t>6.94%</t>
  </si>
  <si>
    <t>9.82%</t>
  </si>
  <si>
    <t>3.65%</t>
  </si>
  <si>
    <t>12.58%</t>
  </si>
  <si>
    <t>4.09%</t>
  </si>
  <si>
    <t>5.92%</t>
  </si>
  <si>
    <t>9.52%</t>
  </si>
  <si>
    <t>14.14%</t>
  </si>
  <si>
    <t>10.0%</t>
  </si>
  <si>
    <t>8.05%</t>
  </si>
  <si>
    <t>5.27%</t>
  </si>
  <si>
    <t>5.17%</t>
  </si>
  <si>
    <t>4.29%</t>
  </si>
  <si>
    <t>2.85%</t>
  </si>
  <si>
    <t>8.62%</t>
  </si>
  <si>
    <t>4.95%</t>
  </si>
  <si>
    <t>7.49%</t>
  </si>
  <si>
    <t>1.51%</t>
  </si>
  <si>
    <t>1.4%</t>
  </si>
  <si>
    <t>19.36%</t>
  </si>
  <si>
    <t>1.56%</t>
  </si>
  <si>
    <t>2.08%</t>
  </si>
  <si>
    <t>4.91%</t>
  </si>
  <si>
    <t>11.56%</t>
  </si>
  <si>
    <t>7.71%</t>
  </si>
  <si>
    <t>0.44%</t>
  </si>
  <si>
    <t>8.36%</t>
  </si>
  <si>
    <t>0.33%</t>
  </si>
  <si>
    <t>7.24%</t>
  </si>
  <si>
    <t>3.56%</t>
  </si>
  <si>
    <t>7.81%</t>
  </si>
  <si>
    <t>1.98%</t>
  </si>
  <si>
    <t>13.74%</t>
  </si>
  <si>
    <t>16.6%</t>
  </si>
  <si>
    <t>2.06%</t>
  </si>
  <si>
    <t>5.81%</t>
  </si>
  <si>
    <t>4.6%</t>
  </si>
  <si>
    <t>8.07%</t>
  </si>
  <si>
    <t>9.5%</t>
  </si>
  <si>
    <t>5.35%</t>
  </si>
  <si>
    <t>0.25%</t>
  </si>
  <si>
    <t>17.74%</t>
  </si>
  <si>
    <t>8.04%</t>
  </si>
  <si>
    <t>3.22%</t>
  </si>
  <si>
    <t>13.26%</t>
  </si>
  <si>
    <t>7.31%</t>
  </si>
  <si>
    <t>5.55%</t>
  </si>
  <si>
    <t>4.0%</t>
  </si>
  <si>
    <t>16.82%</t>
  </si>
  <si>
    <t>6.77%</t>
  </si>
  <si>
    <t>9.68%</t>
  </si>
  <si>
    <t>1.01%</t>
  </si>
  <si>
    <t>2.6%</t>
  </si>
  <si>
    <t>8.67%</t>
  </si>
  <si>
    <t>12.43%</t>
  </si>
  <si>
    <t>5.21%</t>
  </si>
  <si>
    <t>5.96%</t>
  </si>
  <si>
    <t>18.67%</t>
  </si>
  <si>
    <t>9.47%</t>
  </si>
  <si>
    <t>3.86%</t>
  </si>
  <si>
    <t>18.54%</t>
  </si>
  <si>
    <t>1.09%</t>
  </si>
  <si>
    <t>4.89%</t>
  </si>
  <si>
    <t>6.68%</t>
  </si>
  <si>
    <t>12.67%</t>
  </si>
  <si>
    <t>9.92%</t>
  </si>
  <si>
    <t>1.05%</t>
  </si>
  <si>
    <t>13.45%</t>
  </si>
  <si>
    <t>1.97%</t>
  </si>
  <si>
    <t>14.1%</t>
  </si>
  <si>
    <t>9.6%</t>
  </si>
  <si>
    <t>4.3%</t>
  </si>
  <si>
    <t>19.68%</t>
  </si>
  <si>
    <t>3.19%</t>
  </si>
  <si>
    <t>16.19%</t>
  </si>
  <si>
    <t>0.03%</t>
  </si>
  <si>
    <t>5.2%</t>
  </si>
  <si>
    <t>4.01%</t>
  </si>
  <si>
    <t>11.3%</t>
  </si>
  <si>
    <t>2.75%</t>
  </si>
  <si>
    <t>18.37%</t>
  </si>
  <si>
    <t>2.23%</t>
  </si>
  <si>
    <t>0.77%</t>
  </si>
  <si>
    <t>2.99%</t>
  </si>
  <si>
    <t>18.26%</t>
  </si>
  <si>
    <t>5.34%</t>
  </si>
  <si>
    <t>17.39%</t>
  </si>
  <si>
    <t>6.65%</t>
  </si>
  <si>
    <t>0.39%</t>
  </si>
  <si>
    <t>6.96%</t>
  </si>
  <si>
    <t>9.11%</t>
  </si>
  <si>
    <t>10.66%</t>
  </si>
  <si>
    <t>0.04%</t>
  </si>
  <si>
    <t>3.1%</t>
  </si>
  <si>
    <t>14.31%</t>
  </si>
  <si>
    <t>6.51%</t>
  </si>
  <si>
    <t>3.51%</t>
  </si>
  <si>
    <t>10.72%</t>
  </si>
  <si>
    <t>5.11%</t>
  </si>
  <si>
    <t>10.55%</t>
  </si>
  <si>
    <t>2.09%</t>
  </si>
  <si>
    <t>1.68%</t>
  </si>
  <si>
    <t>15.83%</t>
  </si>
  <si>
    <t>5.54%</t>
  </si>
  <si>
    <t>2.84%</t>
  </si>
  <si>
    <t>9.76%</t>
  </si>
  <si>
    <t>3.55%</t>
  </si>
  <si>
    <t>2.69%</t>
  </si>
  <si>
    <t>5.13%</t>
  </si>
  <si>
    <t>10.7%</t>
  </si>
  <si>
    <t>9.48%</t>
  </si>
  <si>
    <t>6.19%</t>
  </si>
  <si>
    <t>18.75%</t>
  </si>
  <si>
    <t>9.14%</t>
  </si>
  <si>
    <t>18.98%</t>
  </si>
  <si>
    <t>4.59%</t>
  </si>
  <si>
    <t>14.93%</t>
  </si>
  <si>
    <t>3.18%</t>
  </si>
  <si>
    <t>19.47%</t>
  </si>
  <si>
    <t>9.05%</t>
  </si>
  <si>
    <t>16.27%</t>
  </si>
  <si>
    <t>6.3%</t>
  </si>
  <si>
    <t>5.87%</t>
  </si>
  <si>
    <t>10.61%</t>
  </si>
  <si>
    <t>6.84%</t>
  </si>
  <si>
    <t>14.21%</t>
  </si>
  <si>
    <t>9.99%</t>
  </si>
  <si>
    <t>8.95%</t>
  </si>
  <si>
    <t>9.37%</t>
  </si>
  <si>
    <t>8.09%</t>
  </si>
  <si>
    <t>4.32%</t>
  </si>
  <si>
    <t>9.01%</t>
  </si>
  <si>
    <t>0.28%</t>
  </si>
  <si>
    <t>6.74%</t>
  </si>
  <si>
    <t>9.09%</t>
  </si>
  <si>
    <t>15.64%</t>
  </si>
  <si>
    <t>0.19%</t>
  </si>
  <si>
    <t>11.73%</t>
  </si>
  <si>
    <t>9.39%</t>
  </si>
  <si>
    <t>7.16%</t>
  </si>
  <si>
    <t>2.35%</t>
  </si>
  <si>
    <t>3.08%</t>
  </si>
  <si>
    <t>19.84%</t>
  </si>
  <si>
    <t>3.5%</t>
  </si>
  <si>
    <t>5.73%</t>
  </si>
  <si>
    <t>7.62%</t>
  </si>
  <si>
    <t>5.07%</t>
  </si>
  <si>
    <t>5.39%</t>
  </si>
  <si>
    <t>8.43%</t>
  </si>
  <si>
    <t>7.74%</t>
  </si>
  <si>
    <t>2.71%</t>
  </si>
  <si>
    <t>11.64%</t>
  </si>
  <si>
    <t>3.84%</t>
  </si>
  <si>
    <t>12.03%</t>
  </si>
  <si>
    <t>6.81%</t>
  </si>
  <si>
    <t>16.59%</t>
  </si>
  <si>
    <t>5.49%</t>
  </si>
  <si>
    <t>5.99%</t>
  </si>
  <si>
    <t>2.67%</t>
  </si>
  <si>
    <t>6.92%</t>
  </si>
  <si>
    <t>8.55%</t>
  </si>
  <si>
    <t>3.58%</t>
  </si>
  <si>
    <t>14.61%</t>
  </si>
  <si>
    <t>0.85%</t>
  </si>
  <si>
    <t>16.41%</t>
  </si>
  <si>
    <t>8.73%</t>
  </si>
  <si>
    <t>11.46%</t>
  </si>
  <si>
    <t>11.01%</t>
  </si>
  <si>
    <t>3.3%</t>
  </si>
  <si>
    <t>4.9%</t>
  </si>
  <si>
    <t>5.7%</t>
  </si>
  <si>
    <t>8.49%</t>
  </si>
  <si>
    <t>1.46%</t>
  </si>
  <si>
    <t>4.58%</t>
  </si>
  <si>
    <t>5.09%</t>
  </si>
  <si>
    <t>9.89%</t>
  </si>
  <si>
    <t>9.4%</t>
  </si>
  <si>
    <t>3.93%</t>
  </si>
  <si>
    <t>7.77%</t>
  </si>
  <si>
    <t>5.43%</t>
  </si>
  <si>
    <t>7.17%</t>
  </si>
  <si>
    <t>15.01%</t>
  </si>
  <si>
    <t>9.93%</t>
  </si>
  <si>
    <t>13.14%</t>
  </si>
  <si>
    <t>4.69%</t>
  </si>
  <si>
    <t>14.2%</t>
  </si>
  <si>
    <t>8.61%</t>
  </si>
  <si>
    <t>15.24%</t>
  </si>
  <si>
    <t>5.51%</t>
  </si>
  <si>
    <t>16.44%</t>
  </si>
  <si>
    <t>8.35%</t>
  </si>
  <si>
    <t>5.04%</t>
  </si>
  <si>
    <t>6.43%</t>
  </si>
  <si>
    <t>15.1%</t>
  </si>
  <si>
    <t>2.03%</t>
  </si>
  <si>
    <t>10.11%</t>
  </si>
  <si>
    <t>18.58%</t>
  </si>
  <si>
    <t>8.01%</t>
  </si>
  <si>
    <t>0.5%</t>
  </si>
  <si>
    <t>18.62%</t>
  </si>
  <si>
    <t>6.03%</t>
  </si>
  <si>
    <t>5.8%</t>
  </si>
  <si>
    <t>2.82%</t>
  </si>
  <si>
    <t>18.51%</t>
  </si>
  <si>
    <t>9.36%</t>
  </si>
  <si>
    <t>2.01%</t>
  </si>
  <si>
    <t>11.07%</t>
  </si>
  <si>
    <t>3.68%</t>
  </si>
  <si>
    <t>3.46%</t>
  </si>
  <si>
    <t>17.95%</t>
  </si>
  <si>
    <t>4.37%</t>
  </si>
  <si>
    <t>2.39%</t>
  </si>
  <si>
    <t>9.79%</t>
  </si>
  <si>
    <t>8.6%</t>
  </si>
  <si>
    <t>0.67%</t>
  </si>
  <si>
    <t>4.84%</t>
  </si>
  <si>
    <t>9.88%</t>
  </si>
  <si>
    <t>18.63%</t>
  </si>
  <si>
    <t>8.31%</t>
  </si>
  <si>
    <t>18.83%</t>
  </si>
  <si>
    <t>7.48%</t>
  </si>
  <si>
    <t>7.2%</t>
  </si>
  <si>
    <t>8.53%</t>
  </si>
  <si>
    <t>18.56%</t>
  </si>
  <si>
    <t>4.57%</t>
  </si>
  <si>
    <t>3.9%</t>
  </si>
  <si>
    <t>10.76%</t>
  </si>
  <si>
    <t>6.36%</t>
  </si>
  <si>
    <t>3.21%</t>
  </si>
  <si>
    <t>16.18%</t>
  </si>
  <si>
    <t>1.77%</t>
  </si>
  <si>
    <t>3.04%</t>
  </si>
  <si>
    <t>6.97%</t>
  </si>
  <si>
    <t>19.27%</t>
  </si>
  <si>
    <t>6.32%</t>
  </si>
  <si>
    <t>9.98%</t>
  </si>
  <si>
    <t>8.19%</t>
  </si>
  <si>
    <t>7.78%</t>
  </si>
  <si>
    <t>9.1%</t>
  </si>
  <si>
    <t>0.07%</t>
  </si>
  <si>
    <t>1.95%</t>
  </si>
  <si>
    <t>0.6%</t>
  </si>
  <si>
    <t>6.33%</t>
  </si>
  <si>
    <t>7.59%</t>
  </si>
  <si>
    <t>7.8%</t>
  </si>
  <si>
    <t>9.91%</t>
  </si>
  <si>
    <t>13.84%</t>
  </si>
  <si>
    <t>9.3%</t>
  </si>
  <si>
    <t>9.31%</t>
  </si>
  <si>
    <t>5.83%</t>
  </si>
  <si>
    <t>12.42%</t>
  </si>
  <si>
    <t>8.22%</t>
  </si>
  <si>
    <t>14.56%</t>
  </si>
  <si>
    <t>0.59%</t>
  </si>
  <si>
    <t>5.84%</t>
  </si>
  <si>
    <t>6.37%</t>
  </si>
  <si>
    <t>8.21%</t>
  </si>
  <si>
    <t>7.6%</t>
  </si>
  <si>
    <t>10.85%</t>
  </si>
  <si>
    <t>3.25%</t>
  </si>
  <si>
    <t>18.21%</t>
  </si>
  <si>
    <t>2.3%</t>
  </si>
  <si>
    <t>14.71%</t>
  </si>
  <si>
    <t>6.8%</t>
  </si>
  <si>
    <t>9.97%</t>
  </si>
  <si>
    <t>5.22%</t>
  </si>
  <si>
    <t>3.75%</t>
  </si>
  <si>
    <t>12.73%</t>
  </si>
  <si>
    <t>5.29%</t>
  </si>
  <si>
    <t>8.15%</t>
  </si>
  <si>
    <t>15.67%</t>
  </si>
  <si>
    <t>9.16%</t>
  </si>
  <si>
    <t>6.07%</t>
  </si>
  <si>
    <t>7.58%</t>
  </si>
  <si>
    <t>18.0%</t>
  </si>
  <si>
    <t>18.46%</t>
  </si>
  <si>
    <t>2.63%</t>
  </si>
  <si>
    <t>0.75%</t>
  </si>
  <si>
    <t>13.83%</t>
  </si>
  <si>
    <t>6.83%</t>
  </si>
  <si>
    <t>11.72%</t>
  </si>
  <si>
    <t>0.56%</t>
  </si>
  <si>
    <t>8.91%</t>
  </si>
  <si>
    <t>9.21%</t>
  </si>
  <si>
    <t>3.45%</t>
  </si>
  <si>
    <t>17.26%</t>
  </si>
  <si>
    <t>5.4%</t>
  </si>
  <si>
    <t>6.82%</t>
  </si>
  <si>
    <t>6.15%</t>
  </si>
  <si>
    <t>3.16%</t>
  </si>
  <si>
    <t>13.1%</t>
  </si>
  <si>
    <t>2.25%</t>
  </si>
  <si>
    <t>10.47%</t>
  </si>
  <si>
    <t>7.13%</t>
  </si>
  <si>
    <t>5.24%</t>
  </si>
  <si>
    <t>0.12%</t>
  </si>
  <si>
    <t>1.81%</t>
  </si>
  <si>
    <t>7.79%</t>
  </si>
  <si>
    <t>13.44%</t>
  </si>
  <si>
    <t>2.46%</t>
  </si>
  <si>
    <t>7.21%</t>
  </si>
  <si>
    <t>7.75%</t>
  </si>
  <si>
    <t>Emp Name</t>
  </si>
  <si>
    <t>Total Number of working hours</t>
  </si>
  <si>
    <t>Attended calls</t>
  </si>
  <si>
    <t>Active with customer</t>
  </si>
  <si>
    <t>Row Labels</t>
  </si>
  <si>
    <t>Employee22</t>
  </si>
  <si>
    <t>Employee29</t>
  </si>
  <si>
    <t>Employee31</t>
  </si>
  <si>
    <t>Employee49</t>
  </si>
  <si>
    <t>Employee95</t>
  </si>
  <si>
    <t xml:space="preserve"> Employee Total working hours</t>
  </si>
  <si>
    <t>Report 1: Working hours</t>
  </si>
  <si>
    <t>Employee119</t>
  </si>
  <si>
    <t>Employee146</t>
  </si>
  <si>
    <t>Employee15</t>
  </si>
  <si>
    <t>Employee96</t>
  </si>
  <si>
    <t>Sum of Active with customer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</si>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</sst>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;;;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5">
    <xf numFmtId="0" fontId="0" fillId="0" borderId="0" xfId="0"/>
    <xf numFmtId="10" fontId="0" fillId="0" borderId="0" xfId="0" applyNumberFormat="1"/>
    <xf numFmtId="2" fontId="0" fillId="0" borderId="0" xfId="0" applyNumberFormat="1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4" borderId="0" xfId="0" applyNumberFormat="1" applyFill="1"/>
    <xf numFmtId="9" fontId="0" fillId="0" borderId="0" xfId="1" applyFont="1"/>
    <xf numFmtId="9" fontId="0" fillId="0" borderId="0" xfId="0" applyNumberFormat="1"/>
    <xf numFmtId="0" fontId="5" fillId="4" borderId="0" xfId="0" applyFont="1" applyFill="1"/>
    <xf numFmtId="0" fontId="5" fillId="3" borderId="0" xfId="0" applyFont="1" applyFill="1"/>
    <xf numFmtId="0" fontId="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project.xlsm]Dashbaord!PivotTable1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Dashbaord!$B$3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Dashbaord!$A$4:$A$8</c:f>
              <c:strCache>
                <c:ptCount val="5"/>
                <c:pt idx="0">
                  <c:v>Employee22</c:v>
                </c:pt>
                <c:pt idx="1">
                  <c:v>Employee29</c:v>
                </c:pt>
                <c:pt idx="2">
                  <c:v>Employee31</c:v>
                </c:pt>
                <c:pt idx="3">
                  <c:v>Employee49</c:v>
                </c:pt>
                <c:pt idx="4">
                  <c:v>Employee95</c:v>
                </c:pt>
              </c:strCache>
            </c:strRef>
          </c:cat>
          <c:val>
            <c:numRef>
              <c:f>Dashbaord!$B$4:$B$8</c:f>
              <c:numCache>
                <c:formatCode>[$-F400]h:mm:ss\ AM/PM</c:formatCode>
                <c:ptCount val="5"/>
                <c:pt idx="0">
                  <c:v>0.37291666666666667</c:v>
                </c:pt>
                <c:pt idx="1">
                  <c:v>0.37083333333333335</c:v>
                </c:pt>
                <c:pt idx="2">
                  <c:v>0.37152777777777779</c:v>
                </c:pt>
                <c:pt idx="3">
                  <c:v>0.37291666666666667</c:v>
                </c:pt>
                <c:pt idx="4">
                  <c:v>0.37361111111111112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1-4D7E-AED2-620C7D74D2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4481215"/>
        <c:axId val="244470655"/>
      </c:barChart>
      <c:catAx>
        <c:axId val="244481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470655"/>
        <c:crosses val="autoZero"/>
        <c:auto val="1"/>
        <c:lblAlgn val="ctr"/>
        <c:lblOffset val="100"/>
        <c:noMultiLvlLbl val="0"/>
      </c:catAx>
      <c:valAx>
        <c:axId val="244470655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244481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project.xlsm]Dashbaord!PivotTable3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</a:t>
                </a: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howDataLabelsRange val="0"/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Dashbaord!$G$3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2A-485A-8699-8524A7F9C5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2A-485A-8699-8524A7F9C5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2A-485A-8699-8524A7F9C5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12A-485A-8699-8524A7F9C5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12A-485A-8699-8524A7F9C5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12A-485A-8699-8524A7F9C5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Dashbaord!$F$4:$F$9</c:f>
              <c:strCache>
                <c:ptCount val="5"/>
                <c:pt idx="0">
                  <c:v>Employee119</c:v>
                </c:pt>
                <c:pt idx="1">
                  <c:v>Employee146</c:v>
                </c:pt>
                <c:pt idx="2">
                  <c:v>Employee15</c:v>
                </c:pt>
                <c:pt idx="3">
                  <c:v>Employee49</c:v>
                </c:pt>
                <c:pt idx="4">
                  <c:v>Employee96</c:v>
                </c:pt>
              </c:strCache>
            </c:strRef>
          </c:cat>
          <c:val>
            <c:numRef>
              <c:f>Dashbaord!$G$4:$G$9</c:f>
              <c:numCache>
                <c:formatCode>0%</c:formatCode>
                <c:ptCount val="5"/>
                <c:pt idx="0">
                  <c:v>0.68889999999999996</c:v>
                </c:pt>
                <c:pt idx="1">
                  <c:v>0.6895</c:v>
                </c:pt>
                <c:pt idx="2">
                  <c:v>0.69579999999999997</c:v>
                </c:pt>
                <c:pt idx="3">
                  <c:v>0.69689999999999996</c:v>
                </c:pt>
                <c:pt idx="4">
                  <c:v>0.69379999999999997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BA-45B6-9108-AEF4DC574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D$1" max="200" min="1" page="10" val="5"/>
</file>

<file path=xl/ctrlProps/ctrlProp2.xml><?xml version="1.0" encoding="utf-8"?>
<formControlPr xmlns="http://schemas.microsoft.com/office/spreadsheetml/2009/9/main" objectType="Spin" dx="26" fmlaLink="$D$2" max="2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1066800</xdr:colOff>
      <xdr:row>0</xdr:row>
      <xdr:rowOff>0</xdr:rowOff>
    </xdr:from>
    <xdr:to>
      <xdr:col>1</xdr:col>
      <xdr:colOff>1722120</xdr:colOff>
      <xdr:row>0</xdr:row>
      <xdr:rowOff>358140</xdr:rowOff>
    </xdr:to>
    <xdr:sp macro="" textlink="$D$1">
      <xdr:nvSpPr>
        <xdr:cNvPr id="9" name="Rectangle 8">
          <a:extLst>
            <a:ext uri="{FF2B5EF4-FFF2-40B4-BE49-F238E27FC236}">
              <a16:creationId xmlns:a16="http://schemas.microsoft.com/office/drawing/2014/main" id="{0F7D83C8-236D-2E2C-A4C7-69F33559D12A}"/>
            </a:ext>
          </a:extLst>
        </xdr:cNvPr>
        <xdr:cNvSpPr/>
      </xdr:nvSpPr>
      <xdr:spPr>
        <a:xfrm>
          <a:off x="2560320" y="0"/>
          <a:ext cx="655320" cy="35814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71CEC36-A644-488F-90F1-251923634852}" type="TxLink">
            <a:rPr lang="en-US" sz="1800" b="0" i="0" u="none" strike="noStrike">
              <a:solidFill>
                <a:srgbClr val="000000"/>
              </a:solidFill>
              <a:latin typeface="Bodoni MT Black" panose="02070A03080606020203" pitchFamily="18" charset="0"/>
              <a:ea typeface="Calibri"/>
              <a:cs typeface="Calibri"/>
            </a:rPr>
            <a:pPr algn="ctr"/>
            <a:t>5</a:t>
          </a:fld>
          <a:endParaRPr lang="en-US" sz="1800">
            <a:latin typeface="Bodoni MT Black" panose="02070A03080606020203" pitchFamily="18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0</xdr:col>
      <xdr:colOff>0</xdr:colOff>
      <xdr:row>8</xdr:row>
      <xdr:rowOff>152400</xdr:rowOff>
    </xdr:from>
    <xdr:to>
      <xdr:col>1</xdr:col>
      <xdr:colOff>1851660</xdr:colOff>
      <xdr:row>22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63F796-250A-A9DB-1EF6-09376C982F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0</xdr:row>
      <xdr:rowOff>7620</xdr:rowOff>
    </xdr:from>
    <xdr:to>
      <xdr:col>0</xdr:col>
      <xdr:colOff>1470660</xdr:colOff>
      <xdr:row>0</xdr:row>
      <xdr:rowOff>367620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E81427-D81A-1502-1502-1F9CFE4924BF}"/>
            </a:ext>
          </a:extLst>
        </xdr:cNvPr>
        <xdr:cNvSpPr/>
      </xdr:nvSpPr>
      <xdr:spPr>
        <a:xfrm>
          <a:off x="38100" y="7620"/>
          <a:ext cx="1432560" cy="360000"/>
        </a:xfrm>
        <a:prstGeom prst="rightArrow">
          <a:avLst>
            <a:gd name="adj1" fmla="val 100000"/>
            <a:gd name="adj2" fmla="val 103125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CHART</a:t>
          </a:r>
        </a:p>
      </xdr:txBody>
    </xdr:sp>
    <xdr:clientData/>
  </xdr:twoCellAnchor>
  <xdr:twoCellAnchor editAs="oneCell">
    <xdr:from>
      <xdr:col>0</xdr:col>
      <xdr:colOff>1490104</xdr:colOff>
      <xdr:row>0</xdr:row>
      <xdr:rowOff>7620</xdr:rowOff>
    </xdr:from>
    <xdr:to>
      <xdr:col>1</xdr:col>
      <xdr:colOff>419144</xdr:colOff>
      <xdr:row>0</xdr:row>
      <xdr:rowOff>373418</xdr:rowOff>
    </xdr:to>
    <xdr:pic macro="[0]!Hide_chart1">
      <xdr:nvPicPr>
        <xdr:cNvPr id="6" name="Picture 5">
          <a:extLst>
            <a:ext uri="{FF2B5EF4-FFF2-40B4-BE49-F238E27FC236}">
              <a16:creationId xmlns:a16="http://schemas.microsoft.com/office/drawing/2014/main" id="{293B857D-20CB-CD9A-8C25-7400C4187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104" y="7620"/>
          <a:ext cx="422560" cy="365798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1470660</xdr:colOff>
      <xdr:row>0</xdr:row>
      <xdr:rowOff>7620</xdr:rowOff>
    </xdr:from>
    <xdr:to>
      <xdr:col>1</xdr:col>
      <xdr:colOff>563880</xdr:colOff>
      <xdr:row>0</xdr:row>
      <xdr:rowOff>374333</xdr:rowOff>
    </xdr:to>
    <xdr:pic macro="[0]!Show_chart1">
      <xdr:nvPicPr>
        <xdr:cNvPr id="8" name="Picture 7" hidden="1">
          <a:extLst>
            <a:ext uri="{FF2B5EF4-FFF2-40B4-BE49-F238E27FC236}">
              <a16:creationId xmlns:a16="http://schemas.microsoft.com/office/drawing/2014/main" id="{396E9377-11EC-46DB-08E2-2D6B66EE5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0660" y="7620"/>
          <a:ext cx="586740" cy="366713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1082040</xdr:colOff>
          <xdr:row>0</xdr:row>
          <xdr:rowOff>30480</xdr:rowOff>
        </xdr:from>
        <xdr:to>
          <xdr:col>1</xdr:col>
          <xdr:colOff>1310640</xdr:colOff>
          <xdr:row>0</xdr:row>
          <xdr:rowOff>335280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1767840</xdr:colOff>
      <xdr:row>0</xdr:row>
      <xdr:rowOff>0</xdr:rowOff>
    </xdr:from>
    <xdr:to>
      <xdr:col>2</xdr:col>
      <xdr:colOff>1188720</xdr:colOff>
      <xdr:row>0</xdr:row>
      <xdr:rowOff>342900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E2B55A8F-CC83-49D6-95F6-90B0152638BC}"/>
            </a:ext>
          </a:extLst>
        </xdr:cNvPr>
        <xdr:cNvSpPr/>
      </xdr:nvSpPr>
      <xdr:spPr>
        <a:xfrm flipH="1">
          <a:off x="3261360" y="0"/>
          <a:ext cx="1295400" cy="342900"/>
        </a:xfrm>
        <a:prstGeom prst="rightArrow">
          <a:avLst>
            <a:gd name="adj1" fmla="val 100000"/>
            <a:gd name="adj2" fmla="val 103125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RECORDS</a:t>
          </a:r>
        </a:p>
      </xdr:txBody>
    </xdr:sp>
    <xdr:clientData/>
  </xdr:twoCellAnchor>
  <xdr:twoCellAnchor>
    <xdr:from>
      <xdr:col>6</xdr:col>
      <xdr:colOff>1028700</xdr:colOff>
      <xdr:row>0</xdr:row>
      <xdr:rowOff>7620</xdr:rowOff>
    </xdr:from>
    <xdr:to>
      <xdr:col>7</xdr:col>
      <xdr:colOff>0</xdr:colOff>
      <xdr:row>0</xdr:row>
      <xdr:rowOff>365760</xdr:rowOff>
    </xdr:to>
    <xdr:sp macro="" textlink="$D$2">
      <xdr:nvSpPr>
        <xdr:cNvPr id="4" name="Rectangle 3">
          <a:extLst>
            <a:ext uri="{FF2B5EF4-FFF2-40B4-BE49-F238E27FC236}">
              <a16:creationId xmlns:a16="http://schemas.microsoft.com/office/drawing/2014/main" id="{BD7396E8-86CC-4B65-9ED0-281871466F89}"/>
            </a:ext>
          </a:extLst>
        </xdr:cNvPr>
        <xdr:cNvSpPr/>
      </xdr:nvSpPr>
      <xdr:spPr>
        <a:xfrm>
          <a:off x="7726680" y="7620"/>
          <a:ext cx="647700" cy="35814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7F01BC6-BD40-4592-A08E-72ADE3DFE15F}" type="TxLink">
            <a:rPr lang="en-US" sz="1600" b="0" i="0" u="none" strike="noStrike">
              <a:solidFill>
                <a:srgbClr val="000000"/>
              </a:solidFill>
              <a:latin typeface="Bodoni MT Black" panose="02070A03080606020203" pitchFamily="18" charset="0"/>
              <a:ea typeface="Calibri"/>
              <a:cs typeface="Calibri"/>
            </a:rPr>
            <a:pPr algn="ctr"/>
            <a:t>5</a:t>
          </a:fld>
          <a:endParaRPr lang="en-US" sz="1600">
            <a:latin typeface="Bodoni MT Black" panose="02070A03080606020203" pitchFamily="18" charset="0"/>
            <a:cs typeface="Aharoni" panose="02010803020104030203" pitchFamily="2" charset="-79"/>
          </a:endParaRPr>
        </a:p>
      </xdr:txBody>
    </xdr:sp>
    <xdr:clientData/>
  </xdr:twoCellAnchor>
  <xdr:twoCellAnchor>
    <xdr:from>
      <xdr:col>3</xdr:col>
      <xdr:colOff>342900</xdr:colOff>
      <xdr:row>0</xdr:row>
      <xdr:rowOff>7620</xdr:rowOff>
    </xdr:from>
    <xdr:to>
      <xdr:col>6</xdr:col>
      <xdr:colOff>0</xdr:colOff>
      <xdr:row>0</xdr:row>
      <xdr:rowOff>367620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F2BB3AE-0B71-4DE2-BE58-FB4D68535C32}"/>
            </a:ext>
          </a:extLst>
        </xdr:cNvPr>
        <xdr:cNvSpPr/>
      </xdr:nvSpPr>
      <xdr:spPr>
        <a:xfrm>
          <a:off x="4983480" y="7620"/>
          <a:ext cx="1165860" cy="360000"/>
        </a:xfrm>
        <a:prstGeom prst="rightArrow">
          <a:avLst>
            <a:gd name="adj1" fmla="val 100000"/>
            <a:gd name="adj2" fmla="val 103125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400"/>
            <a:t>CHART</a:t>
          </a:r>
        </a:p>
      </xdr:txBody>
    </xdr:sp>
    <xdr:clientData/>
  </xdr:twoCellAnchor>
  <xdr:oneCellAnchor>
    <xdr:from>
      <xdr:col>5</xdr:col>
      <xdr:colOff>1490104</xdr:colOff>
      <xdr:row>0</xdr:row>
      <xdr:rowOff>7620</xdr:rowOff>
    </xdr:from>
    <xdr:ext cx="422560" cy="365798"/>
    <xdr:pic macro="[0]!Hide_chart13">
      <xdr:nvPicPr>
        <xdr:cNvPr id="7" name="Picture 6">
          <a:extLst>
            <a:ext uri="{FF2B5EF4-FFF2-40B4-BE49-F238E27FC236}">
              <a16:creationId xmlns:a16="http://schemas.microsoft.com/office/drawing/2014/main" id="{649849CB-683C-496D-9B12-C8645C3A1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104" y="7620"/>
          <a:ext cx="422560" cy="365798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oneCellAnchor>
  <xdr:oneCellAnchor>
    <xdr:from>
      <xdr:col>6</xdr:col>
      <xdr:colOff>22860</xdr:colOff>
      <xdr:row>0</xdr:row>
      <xdr:rowOff>0</xdr:rowOff>
    </xdr:from>
    <xdr:ext cx="586740" cy="366713"/>
    <xdr:pic macro="[0]!Show_chart13">
      <xdr:nvPicPr>
        <xdr:cNvPr id="11" name="Picture 10" hidden="1">
          <a:extLst>
            <a:ext uri="{FF2B5EF4-FFF2-40B4-BE49-F238E27FC236}">
              <a16:creationId xmlns:a16="http://schemas.microsoft.com/office/drawing/2014/main" id="{469BEE46-F8CE-4D51-BE2F-8E3758316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0"/>
          <a:ext cx="586740" cy="366713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1082040</xdr:colOff>
          <xdr:row>0</xdr:row>
          <xdr:rowOff>30480</xdr:rowOff>
        </xdr:from>
        <xdr:to>
          <xdr:col>6</xdr:col>
          <xdr:colOff>1310640</xdr:colOff>
          <xdr:row>0</xdr:row>
          <xdr:rowOff>335280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7</xdr:col>
      <xdr:colOff>1341120</xdr:colOff>
      <xdr:row>0</xdr:row>
      <xdr:rowOff>342900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B60F1639-D3E4-41C5-A9DA-CAC32777A609}"/>
            </a:ext>
          </a:extLst>
        </xdr:cNvPr>
        <xdr:cNvSpPr/>
      </xdr:nvSpPr>
      <xdr:spPr>
        <a:xfrm flipH="1">
          <a:off x="8366760" y="0"/>
          <a:ext cx="1341120" cy="342900"/>
        </a:xfrm>
        <a:prstGeom prst="rightArrow">
          <a:avLst>
            <a:gd name="adj1" fmla="val 100000"/>
            <a:gd name="adj2" fmla="val 103125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RECORDS</a:t>
          </a:r>
        </a:p>
      </xdr:txBody>
    </xdr:sp>
    <xdr:clientData/>
  </xdr:twoCellAnchor>
  <xdr:twoCellAnchor>
    <xdr:from>
      <xdr:col>4</xdr:col>
      <xdr:colOff>0</xdr:colOff>
      <xdr:row>10</xdr:row>
      <xdr:rowOff>15240</xdr:rowOff>
    </xdr:from>
    <xdr:to>
      <xdr:col>7</xdr:col>
      <xdr:colOff>1234440</xdr:colOff>
      <xdr:row>24</xdr:row>
      <xdr:rowOff>152400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86E6FC5-B8CC-8B82-62C7-A4646FC8E0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kunj" refreshedDate="46123.58851736111" createdVersion="8" refreshedVersion="8" minRefreshableVersion="3" recordCount="149" xr:uid="{06B84154-9EC0-46F1-8547-E463E1F03DF3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9">
        <s v="Employee1"/>
        <s v="Employee2"/>
        <s v="Employee3"/>
        <s v="Employee4"/>
        <s v="Employee5"/>
        <s v="Employee6"/>
        <s v="Employee7"/>
        <s v="Employee8"/>
        <s v="Employee9"/>
        <s v="Employee10"/>
        <s v="Employee11"/>
        <s v="Employee12"/>
        <s v="Employee13"/>
        <s v="Employee14"/>
        <s v="Employee15"/>
        <s v="Employee16"/>
        <s v="Employee17"/>
        <s v="Employee18"/>
        <s v="Employee19"/>
        <s v="Employee20"/>
        <s v="Employee21"/>
        <s v="Employee22"/>
        <s v="Employee23"/>
        <s v="Employee24"/>
        <s v="Employee25"/>
        <s v="Employee26"/>
        <s v="Employee27"/>
        <s v="Employee28"/>
        <s v="Employee29"/>
        <s v="Employee30"/>
        <s v="Employee31"/>
        <s v="Employee32"/>
        <s v="Employee33"/>
        <s v="Employee34"/>
        <s v="Employee35"/>
        <s v="Employee36"/>
        <s v="Employee37"/>
        <s v="Employee38"/>
        <s v="Employee39"/>
        <s v="Employee40"/>
        <s v="Employee41"/>
        <s v="Employee42"/>
        <s v="Employee43"/>
        <s v="Employee44"/>
        <s v="Employee45"/>
        <s v="Employee46"/>
        <s v="Employee47"/>
        <s v="Employee48"/>
        <s v="Employee49"/>
        <s v="Employee50"/>
        <s v="Employee51"/>
        <s v="Employee52"/>
        <s v="Employee53"/>
        <s v="Employee54"/>
        <s v="Employee55"/>
        <s v="Employee56"/>
        <s v="Employee57"/>
        <s v="Employee58"/>
        <s v="Employee59"/>
        <s v="Employee60"/>
        <s v="Employee61"/>
        <s v="Employee62"/>
        <s v="Employee63"/>
        <s v="Employee64"/>
        <s v="Employee65"/>
        <s v="Employee66"/>
        <s v="Employee67"/>
        <s v="Employee68"/>
        <s v="Employee69"/>
        <s v="Employee70"/>
        <s v="Employee71"/>
        <s v="Employee72"/>
        <s v="Employee73"/>
        <s v="Employee74"/>
        <s v="Employee75"/>
        <s v="Employee76"/>
        <s v="Employee77"/>
        <s v="Employee78"/>
        <s v="Employee79"/>
        <s v="Employee80"/>
        <s v="Employee81"/>
        <s v="Employee82"/>
        <s v="Employee83"/>
        <s v="Employee84"/>
        <s v="Employee85"/>
        <s v="Employee86"/>
        <s v="Employee87"/>
        <s v="Employee88"/>
        <s v="Employee89"/>
        <s v="Employee90"/>
        <s v="Employee91"/>
        <s v="Employee92"/>
        <s v="Employee93"/>
        <s v="Employee94"/>
        <s v="Employee95"/>
        <s v="Employee96"/>
        <s v="Employee97"/>
        <s v="Employee98"/>
        <s v="Employee99"/>
        <s v="Employee100"/>
        <s v="Employee101"/>
        <s v="Employee102"/>
        <s v="Employee103"/>
        <s v="Employee104"/>
        <s v="Employee105"/>
        <s v="Employee106"/>
        <s v="Employee107"/>
        <s v="Employee108"/>
        <s v="Employee109"/>
        <s v="Employee110"/>
        <s v="Employee111"/>
        <s v="Employee112"/>
        <s v="Employee113"/>
        <s v="Employee114"/>
        <s v="Employee115"/>
        <s v="Employee116"/>
        <s v="Employee117"/>
        <s v="Employee118"/>
        <s v="Employee119"/>
        <s v="Employee120"/>
        <s v="Employee121"/>
        <s v="Employee122"/>
        <s v="Employee123"/>
        <s v="Employee124"/>
        <s v="Employee125"/>
        <s v="Employee126"/>
        <s v="Employee127"/>
        <s v="Employee128"/>
        <s v="Employee129"/>
        <s v="Employee130"/>
        <s v="Employee131"/>
        <s v="Employee132"/>
        <s v="Employee133"/>
        <s v="Employee134"/>
        <s v="Employee135"/>
        <s v="Employee136"/>
        <s v="Employee137"/>
        <s v="Employee138"/>
        <s v="Employee139"/>
        <s v="Employee140"/>
        <s v="Employee141"/>
        <s v="Employee142"/>
        <s v="Employee143"/>
        <s v="Employee144"/>
        <s v="Employee145"/>
        <s v="Employee146"/>
        <s v="Employee147"/>
        <s v="Employee148"/>
        <s v="Employee149"/>
      </sharedItems>
    </cacheField>
    <cacheField name="Total Number of working hours" numFmtId="164">
      <sharedItems containsSemiMixedTypes="0" containsNonDate="0" containsDate="1" containsString="0" minDate="1899-12-30T07:00:00" maxDate="1899-12-30T08:58:00"/>
    </cacheField>
    <cacheField name="Work Efficiency" numFmtId="164">
      <sharedItems containsSemiMixedTypes="0" containsNonDate="0" containsDate="1" containsString="0" minDate="1899-12-30T04:01:00" maxDate="1899-12-30T06:00:00"/>
    </cacheField>
    <cacheField name="Total Break Taken" numFmtId="164">
      <sharedItems containsSemiMixedTypes="0" containsNonDate="0" containsDate="1" containsString="0" minDate="1899-12-30T01:05:00" maxDate="1899-12-30T02:05:00"/>
    </cacheField>
    <cacheField name="Attended calls" numFmtId="0">
      <sharedItems containsSemiMixedTypes="0" containsString="0" containsNumber="1" containsInteger="1" minValue="20" maxValue="120"/>
    </cacheField>
    <cacheField name="Active with customer" numFmtId="9">
      <sharedItems containsSemiMixedTypes="0" containsString="0" containsNumber="1" minValue="0.40189999999999998" maxValue="0.6968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Employee1 (1008501)"/>
    <x v="0"/>
    <d v="1899-12-30T07:24:00"/>
    <d v="1899-12-30T04:56:00"/>
    <d v="1899-12-30T01:09:00"/>
    <n v="94"/>
    <n v="0.66659999999999997"/>
  </r>
  <r>
    <s v="Mum_Employee2 (1008502)"/>
    <x v="1"/>
    <d v="1899-12-30T07:00:00"/>
    <d v="1899-12-30T04:54:00"/>
    <d v="1899-12-30T01:37:00"/>
    <n v="31"/>
    <n v="0.53790000000000004"/>
  </r>
  <r>
    <s v="Mum_Employee3 (1008503)"/>
    <x v="2"/>
    <d v="1899-12-30T08:36:00"/>
    <d v="1899-12-30T05:07:00"/>
    <d v="1899-12-30T01:31:00"/>
    <n v="33"/>
    <n v="0.41830000000000001"/>
  </r>
  <r>
    <s v="Mum_Employee4 (1008504)"/>
    <x v="3"/>
    <d v="1899-12-30T08:49:00"/>
    <d v="1899-12-30T04:26:00"/>
    <d v="1899-12-30T01:23:00"/>
    <n v="36"/>
    <n v="0.53910000000000002"/>
  </r>
  <r>
    <s v="Mum_Employee5 (1008505)"/>
    <x v="4"/>
    <d v="1899-12-30T07:44:00"/>
    <d v="1899-12-30T05:05:00"/>
    <d v="1899-12-30T01:29:00"/>
    <n v="40"/>
    <n v="0.5847"/>
  </r>
  <r>
    <s v="Mum_Employee6 (1008506)"/>
    <x v="5"/>
    <d v="1899-12-30T07:04:00"/>
    <d v="1899-12-30T04:37:00"/>
    <d v="1899-12-30T01:46:00"/>
    <n v="55"/>
    <n v="0.5524"/>
  </r>
  <r>
    <s v="Mum_Employee7 (1008507)"/>
    <x v="6"/>
    <d v="1899-12-30T07:00:00"/>
    <d v="1899-12-30T05:18:00"/>
    <d v="1899-12-30T01:39:00"/>
    <n v="31"/>
    <n v="0.52229999999999999"/>
  </r>
  <r>
    <s v="Mum_Employee8 (1008508)"/>
    <x v="7"/>
    <d v="1899-12-30T08:03:00"/>
    <d v="1899-12-30T05:01:00"/>
    <d v="1899-12-30T01:21:00"/>
    <n v="53"/>
    <n v="0.53539999999999999"/>
  </r>
  <r>
    <s v="Mum_Employee9 (1008509)"/>
    <x v="8"/>
    <d v="1899-12-30T08:41:00"/>
    <d v="1899-12-30T05:04:00"/>
    <d v="1899-12-30T01:50:00"/>
    <n v="31"/>
    <n v="0.6573"/>
  </r>
  <r>
    <s v="Mum_Employee10 (1008510)"/>
    <x v="9"/>
    <d v="1899-12-30T07:19:00"/>
    <d v="1899-12-30T05:03:00"/>
    <d v="1899-12-30T01:17:00"/>
    <n v="82"/>
    <n v="0.46689999999999998"/>
  </r>
  <r>
    <s v="Mum_Employee11 (1008511)"/>
    <x v="10"/>
    <d v="1899-12-30T08:21:00"/>
    <d v="1899-12-30T04:21:00"/>
    <d v="1899-12-30T01:41:00"/>
    <n v="34"/>
    <n v="0.5958"/>
  </r>
  <r>
    <s v="Mum_Employee12 (1008512)"/>
    <x v="11"/>
    <d v="1899-12-30T07:12:00"/>
    <d v="1899-12-30T05:49:00"/>
    <d v="1899-12-30T01:31:00"/>
    <n v="118"/>
    <n v="0.50519999999999998"/>
  </r>
  <r>
    <s v="Mum_Employee13 (1008513)"/>
    <x v="12"/>
    <d v="1899-12-30T07:33:00"/>
    <d v="1899-12-30T05:23:00"/>
    <d v="1899-12-30T01:38:00"/>
    <n v="83"/>
    <n v="0.61499999999999999"/>
  </r>
  <r>
    <s v="Mum_Employee14 (1008514)"/>
    <x v="13"/>
    <d v="1899-12-30T08:41:00"/>
    <d v="1899-12-30T04:59:00"/>
    <d v="1899-12-30T01:38:00"/>
    <n v="36"/>
    <n v="0.64859999999999995"/>
  </r>
  <r>
    <s v="Mum_Employee15 (1008515)"/>
    <x v="14"/>
    <d v="1899-12-30T07:15:00"/>
    <d v="1899-12-30T05:50:00"/>
    <d v="1899-12-30T01:21:00"/>
    <n v="85"/>
    <n v="0.69579999999999997"/>
  </r>
  <r>
    <s v="Mum_Employee16 (1008516)"/>
    <x v="15"/>
    <d v="1899-12-30T08:07:00"/>
    <d v="1899-12-30T05:01:00"/>
    <d v="1899-12-30T01:28:00"/>
    <n v="73"/>
    <n v="0.60409999999999997"/>
  </r>
  <r>
    <s v="Mum_Employee17 (1008517)"/>
    <x v="16"/>
    <d v="1899-12-30T08:29:00"/>
    <d v="1899-12-30T04:37:00"/>
    <d v="1899-12-30T01:24:00"/>
    <n v="117"/>
    <n v="0.42309999999999998"/>
  </r>
  <r>
    <s v="Mum_Employee18 (1008518)"/>
    <x v="17"/>
    <d v="1899-12-30T07:15:00"/>
    <d v="1899-12-30T05:59:00"/>
    <d v="1899-12-30T01:29:00"/>
    <n v="89"/>
    <n v="0.48909999999999998"/>
  </r>
  <r>
    <s v="Mum_Employee19 (1008519)"/>
    <x v="18"/>
    <d v="1899-12-30T08:39:00"/>
    <d v="1899-12-30T04:34:00"/>
    <d v="1899-12-30T01:30:00"/>
    <n v="85"/>
    <n v="0.63249999999999995"/>
  </r>
  <r>
    <s v="Mum_Employee20 (1008520)"/>
    <x v="19"/>
    <d v="1899-12-30T08:34:00"/>
    <d v="1899-12-30T05:43:00"/>
    <d v="1899-12-30T01:31:00"/>
    <n v="52"/>
    <n v="0.66379999999999995"/>
  </r>
  <r>
    <s v="Mum_Employee21 (1008521)"/>
    <x v="20"/>
    <d v="1899-12-30T08:16:00"/>
    <d v="1899-12-30T04:30:00"/>
    <d v="1899-12-30T01:32:00"/>
    <n v="66"/>
    <n v="0.6038"/>
  </r>
  <r>
    <s v="Mum_Employee22 (1008522)"/>
    <x v="21"/>
    <d v="1899-12-30T08:57:00"/>
    <d v="1899-12-30T04:19:00"/>
    <d v="1899-12-30T01:43:00"/>
    <n v="107"/>
    <n v="0.49330000000000002"/>
  </r>
  <r>
    <s v="Mum_Employee23 (1008523)"/>
    <x v="22"/>
    <d v="1899-12-30T07:25:00"/>
    <d v="1899-12-30T05:21:00"/>
    <d v="1899-12-30T01:36:00"/>
    <n v="79"/>
    <n v="0.45329999999999998"/>
  </r>
  <r>
    <s v="Mum_Employee24 (1008524)"/>
    <x v="23"/>
    <d v="1899-12-30T08:01:00"/>
    <d v="1899-12-30T05:19:00"/>
    <d v="1899-12-30T01:24:00"/>
    <n v="101"/>
    <n v="0.53400000000000003"/>
  </r>
  <r>
    <s v="Mum_Employee25 (1008525)"/>
    <x v="24"/>
    <d v="1899-12-30T08:49:00"/>
    <d v="1899-12-30T04:03:00"/>
    <d v="1899-12-30T01:27:00"/>
    <n v="100"/>
    <n v="0.52829999999999999"/>
  </r>
  <r>
    <s v="Mum_Employee26 (1008526)"/>
    <x v="25"/>
    <d v="1899-12-30T08:09:00"/>
    <d v="1899-12-30T05:45:00"/>
    <d v="1899-12-30T01:42:00"/>
    <n v="89"/>
    <n v="0.45529999999999998"/>
  </r>
  <r>
    <s v="Mum_Employee27 (1008527)"/>
    <x v="26"/>
    <d v="1899-12-30T08:10:00"/>
    <d v="1899-12-30T04:22:00"/>
    <d v="1899-12-30T01:30:00"/>
    <n v="20"/>
    <n v="0.44040000000000001"/>
  </r>
  <r>
    <s v="Mum_Employee28 (1008528)"/>
    <x v="27"/>
    <d v="1899-12-30T08:50:00"/>
    <d v="1899-12-30T04:14:00"/>
    <d v="1899-12-30T01:20:00"/>
    <n v="34"/>
    <n v="0.50139999999999996"/>
  </r>
  <r>
    <s v="Mum_Employee29 (1008529)"/>
    <x v="28"/>
    <d v="1899-12-30T08:54:00"/>
    <d v="1899-12-30T04:06:00"/>
    <d v="1899-12-30T01:45:00"/>
    <n v="92"/>
    <n v="0.45090000000000002"/>
  </r>
  <r>
    <s v="Mum_Employee30 (1008530)"/>
    <x v="29"/>
    <d v="1899-12-30T07:03:00"/>
    <d v="1899-12-30T05:56:00"/>
    <d v="1899-12-30T01:26:00"/>
    <n v="111"/>
    <n v="0.60019999999999996"/>
  </r>
  <r>
    <s v="Mum_Employee31 (1008531)"/>
    <x v="30"/>
    <d v="1899-12-30T08:55:00"/>
    <d v="1899-12-30T04:08:00"/>
    <d v="1899-12-30T01:39:00"/>
    <n v="51"/>
    <n v="0.63900000000000001"/>
  </r>
  <r>
    <s v="Mum_Employee32 (1008532)"/>
    <x v="31"/>
    <d v="1899-12-30T07:51:00"/>
    <d v="1899-12-30T05:40:00"/>
    <d v="1899-12-30T01:20:00"/>
    <n v="114"/>
    <n v="0.56120000000000003"/>
  </r>
  <r>
    <s v="Mum_Employee33 (1008533)"/>
    <x v="32"/>
    <d v="1899-12-30T07:36:00"/>
    <d v="1899-12-30T05:40:00"/>
    <d v="1899-12-30T01:35:00"/>
    <n v="39"/>
    <n v="0.60509999999999997"/>
  </r>
  <r>
    <s v="Mum_Employee34 (1008534)"/>
    <x v="33"/>
    <d v="1899-12-30T07:23:00"/>
    <d v="1899-12-30T05:58:00"/>
    <d v="1899-12-30T01:51:00"/>
    <n v="38"/>
    <n v="0.56030000000000002"/>
  </r>
  <r>
    <s v="Mum_Employee35 (1008535)"/>
    <x v="34"/>
    <d v="1899-12-30T07:05:00"/>
    <d v="1899-12-30T05:15:00"/>
    <d v="1899-12-30T01:39:00"/>
    <n v="41"/>
    <n v="0.41489999999999999"/>
  </r>
  <r>
    <s v="Mum_Employee36 (1008536)"/>
    <x v="35"/>
    <d v="1899-12-30T08:16:00"/>
    <d v="1899-12-30T05:59:00"/>
    <d v="1899-12-30T01:37:00"/>
    <n v="31"/>
    <n v="0.435"/>
  </r>
  <r>
    <s v="Mum_Employee37 (1008537)"/>
    <x v="36"/>
    <d v="1899-12-30T07:09:00"/>
    <d v="1899-12-30T05:48:00"/>
    <d v="1899-12-30T01:15:00"/>
    <n v="60"/>
    <n v="0.42709999999999998"/>
  </r>
  <r>
    <s v="Mum_Employee38 (1008538)"/>
    <x v="37"/>
    <d v="1899-12-30T08:48:00"/>
    <d v="1899-12-30T04:25:00"/>
    <d v="1899-12-30T01:26:00"/>
    <n v="37"/>
    <n v="0.4753"/>
  </r>
  <r>
    <s v="Mum_Employee39 (1008539)"/>
    <x v="38"/>
    <d v="1899-12-30T07:48:00"/>
    <d v="1899-12-30T05:31:00"/>
    <d v="1899-12-30T01:23:00"/>
    <n v="56"/>
    <n v="0.4879"/>
  </r>
  <r>
    <s v="Mum_Employee40 (1008540)"/>
    <x v="39"/>
    <d v="1899-12-30T08:48:00"/>
    <d v="1899-12-30T04:23:00"/>
    <d v="1899-12-30T01:13:00"/>
    <n v="69"/>
    <n v="0.58799999999999997"/>
  </r>
  <r>
    <s v="Mum_Employee41 (1008541)"/>
    <x v="40"/>
    <d v="1899-12-30T08:16:00"/>
    <d v="1899-12-30T05:05:00"/>
    <d v="1899-12-30T01:26:00"/>
    <n v="114"/>
    <n v="0.68010000000000004"/>
  </r>
  <r>
    <s v="Mum_Employee42 (1008542)"/>
    <x v="41"/>
    <d v="1899-12-30T08:45:00"/>
    <d v="1899-12-30T04:54:00"/>
    <d v="1899-12-30T01:32:00"/>
    <n v="34"/>
    <n v="0.41889999999999999"/>
  </r>
  <r>
    <s v="Mum_Employee43 (1008543)"/>
    <x v="42"/>
    <d v="1899-12-30T07:45:00"/>
    <d v="1899-12-30T05:24:00"/>
    <d v="1899-12-30T01:36:00"/>
    <n v="60"/>
    <n v="0.4758"/>
  </r>
  <r>
    <s v="Mum_Employee44 (1008544)"/>
    <x v="43"/>
    <d v="1899-12-30T07:13:00"/>
    <d v="1899-12-30T04:17:00"/>
    <d v="1899-12-30T01:54:00"/>
    <n v="62"/>
    <n v="0.63880000000000003"/>
  </r>
  <r>
    <s v="Mum_Employee45 (1008545)"/>
    <x v="44"/>
    <d v="1899-12-30T07:52:00"/>
    <d v="1899-12-30T04:34:00"/>
    <d v="1899-12-30T01:19:00"/>
    <n v="51"/>
    <n v="0.64239999999999997"/>
  </r>
  <r>
    <s v="Mum_Employee46 (1008546)"/>
    <x v="45"/>
    <d v="1899-12-30T08:31:00"/>
    <d v="1899-12-30T04:20:00"/>
    <d v="1899-12-30T01:14:00"/>
    <n v="31"/>
    <n v="0.61570000000000003"/>
  </r>
  <r>
    <s v="Mum_Employee47 (1008547)"/>
    <x v="46"/>
    <d v="1899-12-30T08:53:00"/>
    <d v="1899-12-30T04:15:00"/>
    <d v="1899-12-30T01:56:00"/>
    <n v="79"/>
    <n v="0.57399999999999995"/>
  </r>
  <r>
    <s v="Mum_Employee48 (1008548)"/>
    <x v="47"/>
    <d v="1899-12-30T08:22:00"/>
    <d v="1899-12-30T05:23:00"/>
    <d v="1899-12-30T01:31:00"/>
    <n v="61"/>
    <n v="0.5081"/>
  </r>
  <r>
    <s v="Mum_Employee49 (1008549)"/>
    <x v="48"/>
    <d v="1899-12-30T08:57:00"/>
    <d v="1899-12-30T04:18:00"/>
    <d v="1899-12-30T01:11:00"/>
    <n v="70"/>
    <n v="0.69689999999999996"/>
  </r>
  <r>
    <s v="Mum_Employee50 (1008550)"/>
    <x v="49"/>
    <d v="1899-12-30T07:26:00"/>
    <d v="1899-12-30T05:58:00"/>
    <d v="1899-12-30T01:25:00"/>
    <n v="25"/>
    <n v="0.50829999999999997"/>
  </r>
  <r>
    <s v="Mum_Employee51 (1008551)"/>
    <x v="50"/>
    <d v="1899-12-30T07:52:00"/>
    <d v="1899-12-30T04:16:00"/>
    <d v="1899-12-30T01:40:00"/>
    <n v="56"/>
    <n v="0.50270000000000004"/>
  </r>
  <r>
    <s v="Mum_Employee52 (1008552)"/>
    <x v="51"/>
    <d v="1899-12-30T07:20:00"/>
    <d v="1899-12-30T04:52:00"/>
    <d v="1899-12-30T01:20:00"/>
    <n v="109"/>
    <n v="0.62629999999999997"/>
  </r>
  <r>
    <s v="Mum_Employee53 (1008553)"/>
    <x v="52"/>
    <d v="1899-12-30T07:40:00"/>
    <d v="1899-12-30T04:12:00"/>
    <d v="1899-12-30T01:42:00"/>
    <n v="101"/>
    <n v="0.4284"/>
  </r>
  <r>
    <s v="Mum_Employee54 (1008554)"/>
    <x v="53"/>
    <d v="1899-12-30T08:33:00"/>
    <d v="1899-12-30T04:56:00"/>
    <d v="1899-12-30T01:41:00"/>
    <n v="96"/>
    <n v="0.42649999999999999"/>
  </r>
  <r>
    <s v="Mum_Employee55 (1008555)"/>
    <x v="54"/>
    <d v="1899-12-30T07:14:00"/>
    <d v="1899-12-30T05:07:00"/>
    <d v="1899-12-30T01:19:00"/>
    <n v="75"/>
    <n v="0.5998"/>
  </r>
  <r>
    <s v="Mum_Employee56 (1008556)"/>
    <x v="55"/>
    <d v="1899-12-30T07:23:00"/>
    <d v="1899-12-30T05:35:00"/>
    <d v="1899-12-30T01:42:00"/>
    <n v="29"/>
    <n v="0.49940000000000001"/>
  </r>
  <r>
    <s v="Mum_Employee57 (1008557)"/>
    <x v="56"/>
    <d v="1899-12-30T07:47:00"/>
    <d v="1899-12-30T04:04:00"/>
    <d v="1899-12-30T01:39:00"/>
    <n v="98"/>
    <n v="0.67210000000000003"/>
  </r>
  <r>
    <s v="Mum_Employee58 (1008558)"/>
    <x v="57"/>
    <d v="1899-12-30T08:03:00"/>
    <d v="1899-12-30T05:02:00"/>
    <d v="1899-12-30T01:38:00"/>
    <n v="93"/>
    <n v="0.46400000000000002"/>
  </r>
  <r>
    <s v="Mum_Employee59 (1008559)"/>
    <x v="58"/>
    <d v="1899-12-30T07:29:00"/>
    <d v="1899-12-30T05:26:00"/>
    <d v="1899-12-30T01:30:00"/>
    <n v="90"/>
    <n v="0.65910000000000002"/>
  </r>
  <r>
    <s v="Mum_Employee60 (1008560)"/>
    <x v="59"/>
    <d v="1899-12-30T08:48:00"/>
    <d v="1899-12-30T04:01:00"/>
    <d v="1899-12-30T01:26:00"/>
    <n v="23"/>
    <n v="0.41660000000000003"/>
  </r>
  <r>
    <s v="Mum_Employee61 (1008561)"/>
    <x v="60"/>
    <d v="1899-12-30T07:27:00"/>
    <d v="1899-12-30T04:52:00"/>
    <d v="1899-12-30T01:43:00"/>
    <n v="84"/>
    <n v="0.57420000000000004"/>
  </r>
  <r>
    <s v="Mum_Employee62 (1008562)"/>
    <x v="61"/>
    <d v="1899-12-30T08:47:00"/>
    <d v="1899-12-30T05:41:00"/>
    <d v="1899-12-30T01:38:00"/>
    <n v="24"/>
    <n v="0.41489999999999999"/>
  </r>
  <r>
    <s v="Mum_Employee63 (1008563)"/>
    <x v="62"/>
    <d v="1899-12-30T07:35:00"/>
    <d v="1899-12-30T05:06:00"/>
    <d v="1899-12-30T01:29:00"/>
    <n v="54"/>
    <n v="0.60589999999999999"/>
  </r>
  <r>
    <s v="Mum_Employee64 (1008564)"/>
    <x v="63"/>
    <d v="1899-12-30T08:21:00"/>
    <d v="1899-12-30T05:00:00"/>
    <d v="1899-12-30T01:41:00"/>
    <n v="107"/>
    <n v="0.48080000000000001"/>
  </r>
  <r>
    <s v="Mum_Employee65 (1008565)"/>
    <x v="64"/>
    <d v="1899-12-30T08:01:00"/>
    <d v="1899-12-30T05:49:00"/>
    <d v="1899-12-30T01:16:00"/>
    <n v="76"/>
    <n v="0.59899999999999998"/>
  </r>
  <r>
    <s v="Mum_Employee66 (1008566)"/>
    <x v="65"/>
    <d v="1899-12-30T07:23:00"/>
    <d v="1899-12-30T05:59:00"/>
    <d v="1899-12-30T01:22:00"/>
    <n v="31"/>
    <n v="0.43240000000000001"/>
  </r>
  <r>
    <s v="Mum_Employee67 (1008567)"/>
    <x v="66"/>
    <d v="1899-12-30T07:22:00"/>
    <d v="1899-12-30T05:57:00"/>
    <d v="1899-12-30T01:26:00"/>
    <n v="23"/>
    <n v="0.50139999999999996"/>
  </r>
  <r>
    <s v="Mum_Employee68 (1008568)"/>
    <x v="67"/>
    <d v="1899-12-30T08:46:00"/>
    <d v="1899-12-30T05:06:00"/>
    <d v="1899-12-30T01:56:00"/>
    <n v="107"/>
    <n v="0.4345"/>
  </r>
  <r>
    <s v="Mum_Employee69 (1008569)"/>
    <x v="68"/>
    <d v="1899-12-30T07:07:00"/>
    <d v="1899-12-30T04:56:00"/>
    <d v="1899-12-30T01:36:00"/>
    <n v="78"/>
    <n v="0.61209999999999998"/>
  </r>
  <r>
    <s v="Mum_Employee70 (1008570)"/>
    <x v="69"/>
    <d v="1899-12-30T07:37:00"/>
    <d v="1899-12-30T05:20:00"/>
    <d v="1899-12-30T01:57:00"/>
    <n v="66"/>
    <n v="0.66169999999999995"/>
  </r>
  <r>
    <s v="Mum_Employee71 (1008571)"/>
    <x v="70"/>
    <d v="1899-12-30T07:09:00"/>
    <d v="1899-12-30T05:08:00"/>
    <d v="1899-12-30T01:39:00"/>
    <n v="97"/>
    <n v="0.51490000000000002"/>
  </r>
  <r>
    <s v="Mum_Employee72 (1008572)"/>
    <x v="71"/>
    <d v="1899-12-30T07:51:00"/>
    <d v="1899-12-30T05:48:00"/>
    <d v="1899-12-30T01:33:00"/>
    <n v="73"/>
    <n v="0.61209999999999998"/>
  </r>
  <r>
    <s v="Mum_Employee73 (1008573)"/>
    <x v="72"/>
    <d v="1899-12-30T07:14:00"/>
    <d v="1899-12-30T05:16:00"/>
    <d v="1899-12-30T01:39:00"/>
    <n v="31"/>
    <n v="0.55220000000000002"/>
  </r>
  <r>
    <s v="Mum_Employee74 (1008574)"/>
    <x v="73"/>
    <d v="1899-12-30T07:42:00"/>
    <d v="1899-12-30T05:33:00"/>
    <d v="1899-12-30T01:25:00"/>
    <n v="58"/>
    <n v="0.61360000000000003"/>
  </r>
  <r>
    <s v="Mum_Employee75 (1008575)"/>
    <x v="74"/>
    <d v="1899-12-30T07:49:00"/>
    <d v="1899-12-30T05:29:00"/>
    <d v="1899-12-30T01:41:00"/>
    <n v="120"/>
    <n v="0.40660000000000002"/>
  </r>
  <r>
    <s v="Hyd_Employee76 (1008576)"/>
    <x v="75"/>
    <d v="1899-12-30T08:02:00"/>
    <d v="1899-12-30T05:46:00"/>
    <d v="1899-12-30T01:33:00"/>
    <n v="82"/>
    <n v="0.65239999999999998"/>
  </r>
  <r>
    <s v="Hyd_Employee77 (1008577)"/>
    <x v="76"/>
    <d v="1899-12-30T08:46:00"/>
    <d v="1899-12-30T04:06:00"/>
    <d v="1899-12-30T01:45:00"/>
    <n v="34"/>
    <n v="0.53220000000000001"/>
  </r>
  <r>
    <s v="Hyd_Employee78 (1008578)"/>
    <x v="77"/>
    <d v="1899-12-30T08:19:00"/>
    <d v="1899-12-30T06:00:00"/>
    <d v="1899-12-30T01:38:00"/>
    <n v="47"/>
    <n v="0.49559999999999998"/>
  </r>
  <r>
    <s v="Hyd_Employee79 (1008579)"/>
    <x v="78"/>
    <d v="1899-12-30T08:49:00"/>
    <d v="1899-12-30T05:16:00"/>
    <d v="1899-12-30T01:45:00"/>
    <n v="104"/>
    <n v="0.49669999999999997"/>
  </r>
  <r>
    <s v="Hyd_Employee80 (1008580)"/>
    <x v="79"/>
    <d v="1899-12-30T08:42:00"/>
    <d v="1899-12-30T05:48:00"/>
    <d v="1899-12-30T01:43:00"/>
    <n v="63"/>
    <n v="0.6643"/>
  </r>
  <r>
    <s v="Hyd_Employee81 (1008581)"/>
    <x v="80"/>
    <d v="1899-12-30T07:34:00"/>
    <d v="1899-12-30T04:05:00"/>
    <d v="1899-12-30T02:05:00"/>
    <n v="62"/>
    <n v="0.59409999999999996"/>
  </r>
  <r>
    <s v="Hyd_Employee82 (1008582)"/>
    <x v="81"/>
    <d v="1899-12-30T07:39:00"/>
    <d v="1899-12-30T04:27:00"/>
    <d v="1899-12-30T01:46:00"/>
    <n v="116"/>
    <n v="0.49869999999999998"/>
  </r>
  <r>
    <s v="Hyd_Employee83 (1008583)"/>
    <x v="82"/>
    <d v="1899-12-30T08:37:00"/>
    <d v="1899-12-30T04:52:00"/>
    <d v="1899-12-30T01:48:00"/>
    <n v="71"/>
    <n v="0.48749999999999999"/>
  </r>
  <r>
    <s v="Hyd_Employee84 (1008584)"/>
    <x v="83"/>
    <d v="1899-12-30T08:25:00"/>
    <d v="1899-12-30T04:29:00"/>
    <d v="1899-12-30T01:29:00"/>
    <n v="115"/>
    <n v="0.67679999999999996"/>
  </r>
  <r>
    <s v="Hyd_Employee85 (1008585)"/>
    <x v="84"/>
    <d v="1899-12-30T07:51:00"/>
    <d v="1899-12-30T04:39:00"/>
    <d v="1899-12-30T01:20:00"/>
    <n v="84"/>
    <n v="0.54279999999999995"/>
  </r>
  <r>
    <s v="Hyd_Employee86 (1008586)"/>
    <x v="85"/>
    <d v="1899-12-30T08:14:00"/>
    <d v="1899-12-30T04:19:00"/>
    <d v="1899-12-30T01:26:00"/>
    <n v="115"/>
    <n v="0.56769999999999998"/>
  </r>
  <r>
    <s v="Hyd_Employee87 (1008587)"/>
    <x v="86"/>
    <d v="1899-12-30T08:02:00"/>
    <d v="1899-12-30T05:32:00"/>
    <d v="1899-12-30T01:33:00"/>
    <n v="90"/>
    <n v="0.60099999999999998"/>
  </r>
  <r>
    <s v="Hyd_Employee88 (1008588)"/>
    <x v="87"/>
    <d v="1899-12-30T08:46:00"/>
    <d v="1899-12-30T04:35:00"/>
    <d v="1899-12-30T01:29:00"/>
    <n v="78"/>
    <n v="0.49209999999999998"/>
  </r>
  <r>
    <s v="Hyd_Employee89 (1008589)"/>
    <x v="88"/>
    <d v="1899-12-30T08:15:00"/>
    <d v="1899-12-30T05:59:00"/>
    <d v="1899-12-30T01:44:00"/>
    <n v="115"/>
    <n v="0.60209999999999997"/>
  </r>
  <r>
    <s v="Hyd_Employee90 (1008590)"/>
    <x v="89"/>
    <d v="1899-12-30T07:42:00"/>
    <d v="1899-12-30T04:36:00"/>
    <d v="1899-12-30T01:54:00"/>
    <n v="31"/>
    <n v="0.42809999999999998"/>
  </r>
  <r>
    <s v="Hyd_Employee91 (1008591)"/>
    <x v="90"/>
    <d v="1899-12-30T08:40:00"/>
    <d v="1899-12-30T04:28:00"/>
    <d v="1899-12-30T01:50:00"/>
    <n v="100"/>
    <n v="0.61739999999999995"/>
  </r>
  <r>
    <s v="Hyd_Employee92 (1008592)"/>
    <x v="91"/>
    <d v="1899-12-30T08:43:00"/>
    <d v="1899-12-30T04:51:00"/>
    <d v="1899-12-30T01:32:00"/>
    <n v="31"/>
    <n v="0.66539999999999999"/>
  </r>
  <r>
    <s v="Hyd_Employee93 (1008593)"/>
    <x v="92"/>
    <d v="1899-12-30T07:39:00"/>
    <d v="1899-12-30T04:47:00"/>
    <d v="1899-12-30T01:50:00"/>
    <n v="66"/>
    <n v="0.63890000000000002"/>
  </r>
  <r>
    <s v="Hyd_Employee94 (1008594)"/>
    <x v="93"/>
    <d v="1899-12-30T07:39:00"/>
    <d v="1899-12-30T05:49:00"/>
    <d v="1899-12-30T01:36:00"/>
    <n v="104"/>
    <n v="0.44059999999999999"/>
  </r>
  <r>
    <s v="Hyd_Employee95 (1008595)"/>
    <x v="94"/>
    <d v="1899-12-30T08:58:00"/>
    <d v="1899-12-30T05:31:00"/>
    <d v="1899-12-30T01:33:00"/>
    <n v="36"/>
    <n v="0.62680000000000002"/>
  </r>
  <r>
    <s v="Hyd_Employee96 (1008596)"/>
    <x v="95"/>
    <d v="1899-12-30T08:29:00"/>
    <d v="1899-12-30T05:06:00"/>
    <d v="1899-12-30T01:43:00"/>
    <n v="104"/>
    <n v="0.69379999999999997"/>
  </r>
  <r>
    <s v="Hyd_Employee97 (1008597)"/>
    <x v="96"/>
    <d v="1899-12-30T07:57:00"/>
    <d v="1899-12-30T04:09:00"/>
    <d v="1899-12-30T01:34:00"/>
    <n v="39"/>
    <n v="0.64770000000000005"/>
  </r>
  <r>
    <s v="Hyd_Employee98 (1008598)"/>
    <x v="97"/>
    <d v="1899-12-30T08:42:00"/>
    <d v="1899-12-30T05:42:00"/>
    <d v="1899-12-30T01:37:00"/>
    <n v="21"/>
    <n v="0.64800000000000002"/>
  </r>
  <r>
    <s v="Hyd_Employee99 (1008599)"/>
    <x v="98"/>
    <d v="1899-12-30T07:28:00"/>
    <d v="1899-12-30T04:44:00"/>
    <d v="1899-12-30T01:37:00"/>
    <n v="107"/>
    <n v="0.42230000000000001"/>
  </r>
  <r>
    <s v="Hyd_Employee100 (1008600)"/>
    <x v="99"/>
    <d v="1899-12-30T07:54:00"/>
    <d v="1899-12-30T04:47:00"/>
    <d v="1899-12-30T01:29:00"/>
    <n v="108"/>
    <n v="0.52370000000000005"/>
  </r>
  <r>
    <s v="Hyd_Employee101 (1008601)"/>
    <x v="100"/>
    <d v="1899-12-30T07:12:00"/>
    <d v="1899-12-30T05:09:00"/>
    <d v="1899-12-30T01:31:00"/>
    <n v="63"/>
    <n v="0.68420000000000003"/>
  </r>
  <r>
    <s v="Hyd_Employee102 (1008602)"/>
    <x v="101"/>
    <d v="1899-12-30T08:19:00"/>
    <d v="1899-12-30T04:07:00"/>
    <d v="1899-12-30T01:34:00"/>
    <n v="35"/>
    <n v="0.44600000000000001"/>
  </r>
  <r>
    <s v="Hyd_Employee103 (1008603)"/>
    <x v="102"/>
    <d v="1899-12-30T07:02:00"/>
    <d v="1899-12-30T04:06:00"/>
    <d v="1899-12-30T01:35:00"/>
    <n v="111"/>
    <n v="0.57850000000000001"/>
  </r>
  <r>
    <s v="Hyd_Employee104 (1008604)"/>
    <x v="103"/>
    <d v="1899-12-30T08:19:00"/>
    <d v="1899-12-30T04:55:00"/>
    <d v="1899-12-30T01:48:00"/>
    <n v="67"/>
    <n v="0.53380000000000005"/>
  </r>
  <r>
    <s v="Hyd_Employee105 (1008605)"/>
    <x v="104"/>
    <d v="1899-12-30T07:54:00"/>
    <d v="1899-12-30T04:18:00"/>
    <d v="1899-12-30T01:19:00"/>
    <n v="31"/>
    <n v="0.42580000000000001"/>
  </r>
  <r>
    <s v="Hyd_Employee106 (1008606)"/>
    <x v="105"/>
    <d v="1899-12-30T08:47:00"/>
    <d v="1899-12-30T04:55:00"/>
    <d v="1899-12-30T01:17:00"/>
    <n v="101"/>
    <n v="0.67369999999999997"/>
  </r>
  <r>
    <s v="Hyd_Employee107 (1008607)"/>
    <x v="106"/>
    <d v="1899-12-30T07:35:00"/>
    <d v="1899-12-30T04:30:00"/>
    <d v="1899-12-30T01:13:00"/>
    <n v="77"/>
    <n v="0.59299999999999997"/>
  </r>
  <r>
    <s v="Hyd_Employee108 (1008608)"/>
    <x v="107"/>
    <d v="1899-12-30T08:43:00"/>
    <d v="1899-12-30T05:05:00"/>
    <d v="1899-12-30T01:34:00"/>
    <n v="69"/>
    <n v="0.68140000000000001"/>
  </r>
  <r>
    <s v="Hyd_Employee109 (1008609)"/>
    <x v="108"/>
    <d v="1899-12-30T08:10:00"/>
    <d v="1899-12-30T04:07:00"/>
    <d v="1899-12-30T01:41:00"/>
    <n v="44"/>
    <n v="0.65839999999999999"/>
  </r>
  <r>
    <s v="Hyd_Employee110 (1008610)"/>
    <x v="109"/>
    <d v="1899-12-30T07:59:00"/>
    <d v="1899-12-30T05:06:00"/>
    <d v="1899-12-30T01:23:00"/>
    <n v="35"/>
    <n v="0.44400000000000001"/>
  </r>
  <r>
    <s v="Hyd_Employee111 (1008611)"/>
    <x v="110"/>
    <d v="1899-12-30T07:21:00"/>
    <d v="1899-12-30T05:25:00"/>
    <d v="1899-12-30T01:24:00"/>
    <n v="116"/>
    <n v="0.58760000000000001"/>
  </r>
  <r>
    <s v="Hyd_Employee112 (1008612)"/>
    <x v="111"/>
    <d v="1899-12-30T08:52:00"/>
    <d v="1899-12-30T04:06:00"/>
    <d v="1899-12-30T01:40:00"/>
    <n v="71"/>
    <n v="0.58530000000000004"/>
  </r>
  <r>
    <s v="Hyd_Employee113 (1008613)"/>
    <x v="112"/>
    <d v="1899-12-30T07:03:00"/>
    <d v="1899-12-30T05:04:00"/>
    <d v="1899-12-30T01:49:00"/>
    <n v="88"/>
    <n v="0.54110000000000003"/>
  </r>
  <r>
    <s v="Hyd_Employee114 (1008614)"/>
    <x v="113"/>
    <d v="1899-12-30T07:05:00"/>
    <d v="1899-12-30T04:11:00"/>
    <d v="1899-12-30T01:31:00"/>
    <n v="39"/>
    <n v="0.49270000000000003"/>
  </r>
  <r>
    <s v="Hyd_Employee115 (1008615)"/>
    <x v="114"/>
    <d v="1899-12-30T08:25:00"/>
    <d v="1899-12-30T04:53:00"/>
    <d v="1899-12-30T01:55:00"/>
    <n v="103"/>
    <n v="0.65920000000000001"/>
  </r>
  <r>
    <s v="Hyd_Employee116 (1008616)"/>
    <x v="115"/>
    <d v="1899-12-30T08:40:00"/>
    <d v="1899-12-30T05:17:00"/>
    <d v="1899-12-30T01:40:00"/>
    <n v="23"/>
    <n v="0.43469999999999998"/>
  </r>
  <r>
    <s v="Hyd_Employee117 (1008617)"/>
    <x v="116"/>
    <d v="1899-12-30T08:41:00"/>
    <d v="1899-12-30T05:43:00"/>
    <d v="1899-12-30T01:41:00"/>
    <n v="90"/>
    <n v="0.53910000000000002"/>
  </r>
  <r>
    <s v="Hyd_Employee118 (1008618)"/>
    <x v="117"/>
    <d v="1899-12-30T07:25:00"/>
    <d v="1899-12-30T04:42:00"/>
    <d v="1899-12-30T01:41:00"/>
    <n v="40"/>
    <n v="0.49299999999999999"/>
  </r>
  <r>
    <s v="Hyd_Employee119 (1008619)"/>
    <x v="118"/>
    <d v="1899-12-30T08:40:00"/>
    <d v="1899-12-30T05:37:00"/>
    <d v="1899-12-30T01:33:00"/>
    <n v="27"/>
    <n v="0.68889999999999996"/>
  </r>
  <r>
    <s v="Hyd_Employee120 (1008620)"/>
    <x v="119"/>
    <d v="1899-12-30T07:50:00"/>
    <d v="1899-12-30T05:01:00"/>
    <d v="1899-12-30T01:05:00"/>
    <n v="73"/>
    <n v="0.68079999999999996"/>
  </r>
  <r>
    <s v="Hyd_Employee121 (1008621)"/>
    <x v="120"/>
    <d v="1899-12-30T07:05:00"/>
    <d v="1899-12-30T04:10:00"/>
    <d v="1899-12-30T01:24:00"/>
    <n v="80"/>
    <n v="0.53029999999999999"/>
  </r>
  <r>
    <s v="Hyd_Employee122 (1008622)"/>
    <x v="121"/>
    <d v="1899-12-30T07:59:00"/>
    <d v="1899-12-30T05:18:00"/>
    <d v="1899-12-30T01:37:00"/>
    <n v="106"/>
    <n v="0.4607"/>
  </r>
  <r>
    <s v="Hyd_Employee123 (1008623)"/>
    <x v="122"/>
    <d v="1899-12-30T07:50:00"/>
    <d v="1899-12-30T04:21:00"/>
    <d v="1899-12-30T01:27:00"/>
    <n v="66"/>
    <n v="0.41049999999999998"/>
  </r>
  <r>
    <s v="Hyd_Employee124 (1008624)"/>
    <x v="123"/>
    <d v="1899-12-30T07:10:00"/>
    <d v="1899-12-30T05:24:00"/>
    <d v="1899-12-30T01:34:00"/>
    <n v="44"/>
    <n v="0.53569999999999995"/>
  </r>
  <r>
    <s v="Hyd_Employee125 (1008625)"/>
    <x v="124"/>
    <d v="1899-12-30T07:18:00"/>
    <d v="1899-12-30T05:24:00"/>
    <d v="1899-12-30T01:39:00"/>
    <n v="120"/>
    <n v="0.63160000000000005"/>
  </r>
  <r>
    <s v="Hyd_Employee126 (1008626)"/>
    <x v="125"/>
    <d v="1899-12-30T08:03:00"/>
    <d v="1899-12-30T05:54:00"/>
    <d v="1899-12-30T01:25:00"/>
    <n v="117"/>
    <n v="0.54200000000000004"/>
  </r>
  <r>
    <s v="Hyd_Employee127 (1008627)"/>
    <x v="126"/>
    <d v="1899-12-30T07:26:00"/>
    <d v="1899-12-30T06:00:00"/>
    <d v="1899-12-30T01:34:00"/>
    <n v="86"/>
    <n v="0.58069999999999999"/>
  </r>
  <r>
    <s v="Hyd_Employee128 (1008628)"/>
    <x v="127"/>
    <d v="1899-12-30T07:12:00"/>
    <d v="1899-12-30T05:32:00"/>
    <d v="1899-12-30T01:45:00"/>
    <n v="116"/>
    <n v="0.54690000000000005"/>
  </r>
  <r>
    <s v="Hyd_Employee129 (1008629)"/>
    <x v="128"/>
    <d v="1899-12-30T08:13:00"/>
    <d v="1899-12-30T04:11:00"/>
    <d v="1899-12-30T01:50:00"/>
    <n v="24"/>
    <n v="0.47299999999999998"/>
  </r>
  <r>
    <s v="Hyd_Employee130 (1008630)"/>
    <x v="129"/>
    <d v="1899-12-30T08:23:00"/>
    <d v="1899-12-30T04:38:00"/>
    <d v="1899-12-30T01:41:00"/>
    <n v="60"/>
    <n v="0.40189999999999998"/>
  </r>
  <r>
    <s v="Hyd_Employee131 (1008631)"/>
    <x v="130"/>
    <d v="1899-12-30T07:50:00"/>
    <d v="1899-12-30T04:26:00"/>
    <d v="1899-12-30T01:34:00"/>
    <n v="84"/>
    <n v="0.62119999999999997"/>
  </r>
  <r>
    <s v="Hyd_Employee132 (1008632)"/>
    <x v="131"/>
    <d v="1899-12-30T07:33:00"/>
    <d v="1899-12-30T04:15:00"/>
    <d v="1899-12-30T01:19:00"/>
    <n v="55"/>
    <n v="0.65880000000000005"/>
  </r>
  <r>
    <s v="Hyd_Employee133 (1008633)"/>
    <x v="132"/>
    <d v="1899-12-30T07:27:00"/>
    <d v="1899-12-30T05:51:00"/>
    <d v="1899-12-30T01:33:00"/>
    <n v="72"/>
    <n v="0.52129999999999999"/>
  </r>
  <r>
    <s v="Hyd_Employee134 (1008634)"/>
    <x v="133"/>
    <d v="1899-12-30T08:31:00"/>
    <d v="1899-12-30T06:00:00"/>
    <d v="1899-12-30T01:32:00"/>
    <n v="54"/>
    <n v="0.41770000000000002"/>
  </r>
  <r>
    <s v="Hyd_Employee135 (1008635)"/>
    <x v="134"/>
    <d v="1899-12-30T08:04:00"/>
    <d v="1899-12-30T04:26:00"/>
    <d v="1899-12-30T01:26:00"/>
    <n v="84"/>
    <n v="0.54369999999999996"/>
  </r>
  <r>
    <s v="Hyd_Employee136 (1008636)"/>
    <x v="135"/>
    <d v="1899-12-30T08:28:00"/>
    <d v="1899-12-30T05:17:00"/>
    <d v="1899-12-30T01:49:00"/>
    <n v="115"/>
    <n v="0.4451"/>
  </r>
  <r>
    <s v="Hyd_Employee137 (1008637)"/>
    <x v="136"/>
    <d v="1899-12-30T08:09:00"/>
    <d v="1899-12-30T04:30:00"/>
    <d v="1899-12-30T01:10:00"/>
    <n v="21"/>
    <n v="0.49080000000000001"/>
  </r>
  <r>
    <s v="Hyd_Employee138 (1008638)"/>
    <x v="137"/>
    <d v="1899-12-30T07:06:00"/>
    <d v="1899-12-30T04:16:00"/>
    <d v="1899-12-30T01:32:00"/>
    <n v="66"/>
    <n v="0.51229999999999998"/>
  </r>
  <r>
    <s v="Hyd_Employee139 (1008639)"/>
    <x v="138"/>
    <d v="1899-12-30T07:43:00"/>
    <d v="1899-12-30T05:06:00"/>
    <d v="1899-12-30T01:47:00"/>
    <n v="34"/>
    <n v="0.442"/>
  </r>
  <r>
    <s v="Hyd_Employee140 (1008640)"/>
    <x v="139"/>
    <d v="1899-12-30T07:48:00"/>
    <d v="1899-12-30T04:48:00"/>
    <d v="1899-12-30T01:24:00"/>
    <n v="70"/>
    <n v="0.57350000000000001"/>
  </r>
  <r>
    <s v="Hyd_Employee141 (1008641)"/>
    <x v="140"/>
    <d v="1899-12-30T07:47:00"/>
    <d v="1899-12-30T05:36:00"/>
    <d v="1899-12-30T01:33:00"/>
    <n v="54"/>
    <n v="0.47389999999999999"/>
  </r>
  <r>
    <s v="Hyd_Employee142 (1008642)"/>
    <x v="141"/>
    <d v="1899-12-30T07:27:00"/>
    <d v="1899-12-30T05:19:00"/>
    <d v="1899-12-30T01:54:00"/>
    <n v="25"/>
    <n v="0.45079999999999998"/>
  </r>
  <r>
    <s v="Hyd_Employee143 (1008643)"/>
    <x v="142"/>
    <d v="1899-12-30T08:47:00"/>
    <d v="1899-12-30T05:46:00"/>
    <d v="1899-12-30T01:31:00"/>
    <n v="64"/>
    <n v="0.437"/>
  </r>
  <r>
    <s v="Hyd_Employee144 (1008644)"/>
    <x v="143"/>
    <d v="1899-12-30T07:05:00"/>
    <d v="1899-12-30T05:32:00"/>
    <d v="1899-12-30T01:29:00"/>
    <n v="22"/>
    <n v="0.51970000000000005"/>
  </r>
  <r>
    <s v="Hyd_Employee145 (1008645)"/>
    <x v="144"/>
    <d v="1899-12-30T07:13:00"/>
    <d v="1899-12-30T04:52:00"/>
    <d v="1899-12-30T01:30:00"/>
    <n v="34"/>
    <n v="0.47239999999999999"/>
  </r>
  <r>
    <s v="Hyd_Employee146 (1008646)"/>
    <x v="145"/>
    <d v="1899-12-30T08:11:00"/>
    <d v="1899-12-30T04:05:00"/>
    <d v="1899-12-30T01:32:00"/>
    <n v="45"/>
    <n v="0.6895"/>
  </r>
  <r>
    <s v="Hyd_Employee147 (1008647)"/>
    <x v="146"/>
    <d v="1899-12-30T07:19:00"/>
    <d v="1899-12-30T04:37:00"/>
    <d v="1899-12-30T01:41:00"/>
    <n v="53"/>
    <n v="0.65890000000000004"/>
  </r>
  <r>
    <s v="Hyd_Employee148 (1008648)"/>
    <x v="147"/>
    <d v="1899-12-30T07:17:00"/>
    <d v="1899-12-30T04:24:00"/>
    <d v="1899-12-30T01:37:00"/>
    <n v="108"/>
    <n v="0.55969999999999998"/>
  </r>
  <r>
    <s v="Hyd_Employee149 (1008649)"/>
    <x v="148"/>
    <d v="1899-12-30T08:07:00"/>
    <d v="1899-12-30T04:14:00"/>
    <d v="1899-12-30T01:41:00"/>
    <n v="34"/>
    <n v="0.5390000000000000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0AD81C-1E1A-4CCF-B952-3F7807C8514D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F3:G9" firstHeaderRow="1" firstDataRow="1" firstDataCol="1"/>
  <pivotFields count="7">
    <pivotField showAll="0"/>
    <pivotField axis="axisRow" showAll="0" measureFilter="1">
      <items count="150">
        <item x="0"/>
        <item x="9"/>
        <item x="99"/>
        <item x="100"/>
        <item x="101"/>
        <item x="102"/>
        <item x="103"/>
        <item x="104"/>
        <item x="105"/>
        <item x="106"/>
        <item x="107"/>
        <item x="108"/>
        <item x="10"/>
        <item x="109"/>
        <item x="110"/>
        <item x="111"/>
        <item x="112"/>
        <item x="113"/>
        <item x="114"/>
        <item x="115"/>
        <item x="116"/>
        <item x="117"/>
        <item x="118"/>
        <item x="11"/>
        <item x="119"/>
        <item x="120"/>
        <item x="121"/>
        <item x="122"/>
        <item x="123"/>
        <item x="124"/>
        <item x="125"/>
        <item x="126"/>
        <item x="127"/>
        <item x="128"/>
        <item x="12"/>
        <item x="129"/>
        <item x="130"/>
        <item x="131"/>
        <item x="132"/>
        <item x="133"/>
        <item x="134"/>
        <item x="135"/>
        <item x="136"/>
        <item x="137"/>
        <item x="138"/>
        <item x="13"/>
        <item x="139"/>
        <item x="140"/>
        <item x="141"/>
        <item x="142"/>
        <item x="143"/>
        <item x="144"/>
        <item x="145"/>
        <item x="146"/>
        <item x="147"/>
        <item x="148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2"/>
        <item x="53"/>
        <item x="54"/>
        <item x="55"/>
        <item x="56"/>
        <item x="57"/>
        <item x="58"/>
        <item x="5"/>
        <item x="59"/>
        <item x="60"/>
        <item x="61"/>
        <item x="62"/>
        <item x="63"/>
        <item x="64"/>
        <item x="65"/>
        <item x="66"/>
        <item x="67"/>
        <item x="68"/>
        <item x="6"/>
        <item x="69"/>
        <item x="70"/>
        <item x="71"/>
        <item x="72"/>
        <item x="73"/>
        <item x="74"/>
        <item x="75"/>
        <item x="76"/>
        <item x="77"/>
        <item x="78"/>
        <item x="7"/>
        <item x="79"/>
        <item x="80"/>
        <item x="81"/>
        <item x="82"/>
        <item x="83"/>
        <item x="84"/>
        <item x="85"/>
        <item x="86"/>
        <item x="87"/>
        <item x="88"/>
        <item x="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numFmtId="164" showAll="0"/>
    <pivotField numFmtId="164" showAll="0"/>
    <pivotField numFmtId="164" showAll="0"/>
    <pivotField showAll="0"/>
    <pivotField dataField="1" numFmtId="9" showAll="0"/>
  </pivotFields>
  <rowFields count="1">
    <field x="1"/>
  </rowFields>
  <rowItems count="6">
    <i>
      <x v="22"/>
    </i>
    <i>
      <x v="52"/>
    </i>
    <i>
      <x v="56"/>
    </i>
    <i>
      <x v="93"/>
    </i>
    <i>
      <x v="145"/>
    </i>
    <i t="grand">
      <x/>
    </i>
  </rowItems>
  <colItems count="1">
    <i/>
  </colItems>
  <dataFields count="1">
    <dataField name="Sum of Active with customer" fld="6" baseField="0" baseItem="0" numFmtId="9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9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4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7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366A32-23F6-402B-A767-51B6EA55E77D}" name="PivotTable1" cacheId="0" applyNumberFormats="0" applyBorderFormats="0" applyFontFormats="0" applyPatternFormats="0" applyAlignmentFormats="0" applyWidthHeightFormats="1" dataCaption="Values" updatedVersion="8" minRefreshableVersion="3" rowGrandTotals="0" itemPrintTitles="1" createdVersion="8" indent="0" outline="1" outlineData="1" multipleFieldFilters="0" chartFormat="2">
  <location ref="A3:B8" firstHeaderRow="1" firstDataRow="1" firstDataCol="1"/>
  <pivotFields count="7">
    <pivotField showAll="0"/>
    <pivotField axis="axisRow" showAll="0" measureFilter="1">
      <items count="150">
        <item x="0"/>
        <item x="9"/>
        <item x="99"/>
        <item x="100"/>
        <item x="101"/>
        <item x="102"/>
        <item x="103"/>
        <item x="104"/>
        <item x="105"/>
        <item x="106"/>
        <item x="107"/>
        <item x="108"/>
        <item x="10"/>
        <item x="109"/>
        <item x="110"/>
        <item x="111"/>
        <item x="112"/>
        <item x="113"/>
        <item x="114"/>
        <item x="115"/>
        <item x="116"/>
        <item x="117"/>
        <item x="118"/>
        <item x="11"/>
        <item x="119"/>
        <item x="120"/>
        <item x="121"/>
        <item x="122"/>
        <item x="123"/>
        <item x="124"/>
        <item x="125"/>
        <item x="126"/>
        <item x="127"/>
        <item x="128"/>
        <item x="12"/>
        <item x="129"/>
        <item x="130"/>
        <item x="131"/>
        <item x="132"/>
        <item x="133"/>
        <item x="134"/>
        <item x="135"/>
        <item x="136"/>
        <item x="137"/>
        <item x="138"/>
        <item x="13"/>
        <item x="139"/>
        <item x="140"/>
        <item x="141"/>
        <item x="142"/>
        <item x="143"/>
        <item x="144"/>
        <item x="145"/>
        <item x="146"/>
        <item x="147"/>
        <item x="148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2"/>
        <item x="53"/>
        <item x="54"/>
        <item x="55"/>
        <item x="56"/>
        <item x="57"/>
        <item x="58"/>
        <item x="5"/>
        <item x="59"/>
        <item x="60"/>
        <item x="61"/>
        <item x="62"/>
        <item x="63"/>
        <item x="64"/>
        <item x="65"/>
        <item x="66"/>
        <item x="67"/>
        <item x="68"/>
        <item x="6"/>
        <item x="69"/>
        <item x="70"/>
        <item x="71"/>
        <item x="72"/>
        <item x="73"/>
        <item x="74"/>
        <item x="75"/>
        <item x="76"/>
        <item x="77"/>
        <item x="78"/>
        <item x="7"/>
        <item x="79"/>
        <item x="80"/>
        <item x="81"/>
        <item x="82"/>
        <item x="83"/>
        <item x="84"/>
        <item x="85"/>
        <item x="86"/>
        <item x="87"/>
        <item x="88"/>
        <item x="8"/>
        <item x="89"/>
        <item x="90"/>
        <item x="91"/>
        <item x="92"/>
        <item x="93"/>
        <item x="94"/>
        <item x="95"/>
        <item x="96"/>
        <item x="97"/>
        <item x="98"/>
        <item t="default"/>
      </items>
    </pivotField>
    <pivotField dataField="1" numFmtId="164" showAll="0"/>
    <pivotField numFmtId="164" showAll="0"/>
    <pivotField numFmtId="164" showAll="0"/>
    <pivotField showAll="0"/>
    <pivotField showAll="0"/>
  </pivotFields>
  <rowFields count="1">
    <field x="1"/>
  </rowFields>
  <rowItems count="5">
    <i>
      <x v="64"/>
    </i>
    <i>
      <x v="71"/>
    </i>
    <i>
      <x v="74"/>
    </i>
    <i>
      <x v="93"/>
    </i>
    <i>
      <x v="144"/>
    </i>
  </rowItems>
  <colItems count="1">
    <i/>
  </colItems>
  <dataFields count="1">
    <dataField name=" Employee Total working hours" fld="2" baseField="1" baseItem="64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64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1"/>
  <sheetViews>
    <sheetView workbookViewId="0">
      <selection activeCell="I2" sqref="I2"/>
    </sheetView>
  </sheetViews>
  <sheetFormatPr defaultRowHeight="14.4" x14ac:dyDescent="0.3"/>
  <cols>
    <col min="1" max="1" width="25.109375" bestFit="1" customWidth="1"/>
    <col min="2" max="2" width="7.109375" bestFit="1" customWidth="1"/>
    <col min="3" max="3" width="12.21875" bestFit="1" customWidth="1"/>
    <col min="4" max="4" width="8.6640625" bestFit="1" customWidth="1"/>
    <col min="5" max="5" width="7.44140625" bestFit="1" customWidth="1"/>
    <col min="6" max="6" width="7.6640625" bestFit="1" customWidth="1"/>
    <col min="7" max="7" width="14.6640625" bestFit="1" customWidth="1"/>
    <col min="8" max="8" width="10.5546875" bestFit="1" customWidth="1"/>
    <col min="9" max="9" width="15.7773437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">
        <v>9</v>
      </c>
      <c r="B2" t="s">
        <v>10</v>
      </c>
      <c r="C2" t="s">
        <v>11</v>
      </c>
      <c r="D2" t="s">
        <v>12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 x14ac:dyDescent="0.3">
      <c r="A3" t="s">
        <v>17</v>
      </c>
      <c r="B3" t="s">
        <v>18</v>
      </c>
      <c r="C3" t="s">
        <v>19</v>
      </c>
      <c r="D3" t="s">
        <v>12</v>
      </c>
      <c r="E3" t="s">
        <v>20</v>
      </c>
      <c r="F3" t="s">
        <v>21</v>
      </c>
      <c r="G3" t="s">
        <v>14</v>
      </c>
      <c r="H3" t="s">
        <v>22</v>
      </c>
      <c r="I3" t="s">
        <v>23</v>
      </c>
    </row>
    <row r="4" spans="1:9" x14ac:dyDescent="0.3">
      <c r="A4" t="s">
        <v>24</v>
      </c>
      <c r="B4" t="s">
        <v>25</v>
      </c>
      <c r="C4" t="s">
        <v>18</v>
      </c>
      <c r="D4" t="s">
        <v>22</v>
      </c>
      <c r="E4" t="s">
        <v>26</v>
      </c>
      <c r="F4" t="s">
        <v>14</v>
      </c>
      <c r="G4" t="s">
        <v>27</v>
      </c>
      <c r="H4" t="s">
        <v>12</v>
      </c>
      <c r="I4" t="s">
        <v>28</v>
      </c>
    </row>
    <row r="5" spans="1:9" x14ac:dyDescent="0.3">
      <c r="A5" t="s">
        <v>29</v>
      </c>
      <c r="B5" t="s">
        <v>30</v>
      </c>
      <c r="C5" t="s">
        <v>31</v>
      </c>
      <c r="D5" t="s">
        <v>14</v>
      </c>
      <c r="E5" t="s">
        <v>32</v>
      </c>
      <c r="F5" t="s">
        <v>15</v>
      </c>
      <c r="G5" t="s">
        <v>20</v>
      </c>
      <c r="H5" t="s">
        <v>15</v>
      </c>
      <c r="I5" t="s">
        <v>33</v>
      </c>
    </row>
    <row r="6" spans="1:9" x14ac:dyDescent="0.3">
      <c r="A6" t="s">
        <v>34</v>
      </c>
      <c r="B6" t="s">
        <v>35</v>
      </c>
      <c r="C6" t="s">
        <v>36</v>
      </c>
      <c r="D6" t="s">
        <v>12</v>
      </c>
      <c r="E6" t="s">
        <v>37</v>
      </c>
      <c r="F6" t="s">
        <v>15</v>
      </c>
      <c r="G6" t="s">
        <v>27</v>
      </c>
      <c r="H6" t="s">
        <v>13</v>
      </c>
      <c r="I6" t="s">
        <v>38</v>
      </c>
    </row>
    <row r="7" spans="1:9" x14ac:dyDescent="0.3">
      <c r="A7" t="s">
        <v>39</v>
      </c>
      <c r="B7" t="s">
        <v>35</v>
      </c>
      <c r="C7" t="s">
        <v>10</v>
      </c>
      <c r="D7" t="s">
        <v>27</v>
      </c>
      <c r="E7" t="s">
        <v>26</v>
      </c>
      <c r="F7" t="s">
        <v>12</v>
      </c>
      <c r="G7" t="s">
        <v>32</v>
      </c>
      <c r="H7" t="s">
        <v>26</v>
      </c>
      <c r="I7" t="s">
        <v>40</v>
      </c>
    </row>
    <row r="8" spans="1:9" x14ac:dyDescent="0.3">
      <c r="A8" t="s">
        <v>41</v>
      </c>
      <c r="B8" t="s">
        <v>42</v>
      </c>
      <c r="C8" t="s">
        <v>31</v>
      </c>
      <c r="D8" t="s">
        <v>22</v>
      </c>
      <c r="E8" t="s">
        <v>27</v>
      </c>
      <c r="F8" t="s">
        <v>14</v>
      </c>
      <c r="G8" t="s">
        <v>26</v>
      </c>
      <c r="H8" t="s">
        <v>21</v>
      </c>
      <c r="I8" t="s">
        <v>43</v>
      </c>
    </row>
    <row r="9" spans="1:9" x14ac:dyDescent="0.3">
      <c r="A9" t="s">
        <v>44</v>
      </c>
      <c r="B9" t="s">
        <v>25</v>
      </c>
      <c r="C9" t="s">
        <v>11</v>
      </c>
      <c r="D9" t="s">
        <v>20</v>
      </c>
      <c r="E9" t="s">
        <v>37</v>
      </c>
      <c r="F9" t="s">
        <v>20</v>
      </c>
      <c r="G9" t="s">
        <v>22</v>
      </c>
      <c r="H9" t="s">
        <v>13</v>
      </c>
      <c r="I9" t="s">
        <v>45</v>
      </c>
    </row>
    <row r="10" spans="1:9" x14ac:dyDescent="0.3">
      <c r="A10" t="s">
        <v>46</v>
      </c>
      <c r="B10" t="s">
        <v>47</v>
      </c>
      <c r="C10" t="s">
        <v>48</v>
      </c>
      <c r="D10" t="s">
        <v>26</v>
      </c>
      <c r="E10" t="s">
        <v>20</v>
      </c>
      <c r="F10" t="s">
        <v>32</v>
      </c>
      <c r="G10" t="s">
        <v>12</v>
      </c>
      <c r="H10" t="s">
        <v>21</v>
      </c>
      <c r="I10" t="s">
        <v>49</v>
      </c>
    </row>
    <row r="11" spans="1:9" x14ac:dyDescent="0.3">
      <c r="A11" t="s">
        <v>50</v>
      </c>
      <c r="B11" t="s">
        <v>51</v>
      </c>
      <c r="C11" t="s">
        <v>52</v>
      </c>
      <c r="D11" t="s">
        <v>26</v>
      </c>
      <c r="E11" t="s">
        <v>20</v>
      </c>
      <c r="F11" t="s">
        <v>37</v>
      </c>
      <c r="G11" t="s">
        <v>12</v>
      </c>
      <c r="H11" t="s">
        <v>22</v>
      </c>
      <c r="I11" t="s">
        <v>53</v>
      </c>
    </row>
    <row r="12" spans="1:9" x14ac:dyDescent="0.3">
      <c r="A12" t="s">
        <v>54</v>
      </c>
      <c r="B12" t="s">
        <v>47</v>
      </c>
      <c r="C12" t="s">
        <v>55</v>
      </c>
      <c r="D12" t="s">
        <v>32</v>
      </c>
      <c r="E12" t="s">
        <v>12</v>
      </c>
      <c r="F12" t="s">
        <v>26</v>
      </c>
      <c r="G12" t="s">
        <v>27</v>
      </c>
      <c r="H12" t="s">
        <v>22</v>
      </c>
      <c r="I12" t="s">
        <v>56</v>
      </c>
    </row>
    <row r="13" spans="1:9" x14ac:dyDescent="0.3">
      <c r="A13" t="s">
        <v>57</v>
      </c>
      <c r="B13" t="s">
        <v>30</v>
      </c>
      <c r="C13" t="s">
        <v>58</v>
      </c>
      <c r="D13" t="s">
        <v>20</v>
      </c>
      <c r="E13" t="s">
        <v>15</v>
      </c>
      <c r="F13" t="s">
        <v>15</v>
      </c>
      <c r="G13" t="s">
        <v>21</v>
      </c>
      <c r="H13" t="s">
        <v>12</v>
      </c>
      <c r="I13" t="s">
        <v>28</v>
      </c>
    </row>
    <row r="14" spans="1:9" x14ac:dyDescent="0.3">
      <c r="A14" t="s">
        <v>59</v>
      </c>
      <c r="B14" t="s">
        <v>42</v>
      </c>
      <c r="C14" t="s">
        <v>25</v>
      </c>
      <c r="D14" t="s">
        <v>14</v>
      </c>
      <c r="E14" t="s">
        <v>14</v>
      </c>
      <c r="F14" t="s">
        <v>27</v>
      </c>
      <c r="G14" t="s">
        <v>20</v>
      </c>
      <c r="H14" t="s">
        <v>37</v>
      </c>
      <c r="I14" t="s">
        <v>60</v>
      </c>
    </row>
    <row r="15" spans="1:9" x14ac:dyDescent="0.3">
      <c r="A15" t="s">
        <v>61</v>
      </c>
      <c r="B15" t="s">
        <v>30</v>
      </c>
      <c r="C15" t="s">
        <v>58</v>
      </c>
      <c r="D15" t="s">
        <v>21</v>
      </c>
      <c r="E15" t="s">
        <v>14</v>
      </c>
      <c r="F15" t="s">
        <v>20</v>
      </c>
      <c r="G15" t="s">
        <v>20</v>
      </c>
      <c r="H15" t="s">
        <v>22</v>
      </c>
      <c r="I15" t="s">
        <v>60</v>
      </c>
    </row>
    <row r="16" spans="1:9" x14ac:dyDescent="0.3">
      <c r="A16" t="s">
        <v>62</v>
      </c>
      <c r="B16" t="s">
        <v>63</v>
      </c>
      <c r="C16" t="s">
        <v>52</v>
      </c>
      <c r="D16" t="s">
        <v>32</v>
      </c>
      <c r="E16" t="s">
        <v>13</v>
      </c>
      <c r="F16" t="s">
        <v>32</v>
      </c>
      <c r="G16" t="s">
        <v>20</v>
      </c>
      <c r="H16" t="s">
        <v>32</v>
      </c>
      <c r="I16" t="s">
        <v>45</v>
      </c>
    </row>
    <row r="17" spans="1:9" x14ac:dyDescent="0.3">
      <c r="A17" t="s">
        <v>64</v>
      </c>
      <c r="B17" t="s">
        <v>65</v>
      </c>
      <c r="C17" t="s">
        <v>51</v>
      </c>
      <c r="D17" t="s">
        <v>37</v>
      </c>
      <c r="E17" t="s">
        <v>21</v>
      </c>
      <c r="F17" t="s">
        <v>13</v>
      </c>
      <c r="G17" t="s">
        <v>15</v>
      </c>
      <c r="H17" t="s">
        <v>14</v>
      </c>
      <c r="I17" t="s">
        <v>66</v>
      </c>
    </row>
    <row r="18" spans="1:9" x14ac:dyDescent="0.3">
      <c r="A18" t="s">
        <v>67</v>
      </c>
      <c r="B18" t="s">
        <v>63</v>
      </c>
      <c r="C18" t="s">
        <v>68</v>
      </c>
      <c r="D18" t="s">
        <v>26</v>
      </c>
      <c r="E18" t="s">
        <v>12</v>
      </c>
      <c r="F18" t="s">
        <v>37</v>
      </c>
      <c r="G18" t="s">
        <v>21</v>
      </c>
      <c r="H18" t="s">
        <v>22</v>
      </c>
      <c r="I18" t="s">
        <v>69</v>
      </c>
    </row>
    <row r="19" spans="1:9" x14ac:dyDescent="0.3">
      <c r="A19" t="s">
        <v>70</v>
      </c>
      <c r="B19" t="s">
        <v>30</v>
      </c>
      <c r="C19" t="s">
        <v>31</v>
      </c>
      <c r="D19" t="s">
        <v>12</v>
      </c>
      <c r="E19" t="s">
        <v>20</v>
      </c>
      <c r="F19" t="s">
        <v>22</v>
      </c>
      <c r="G19" t="s">
        <v>21</v>
      </c>
      <c r="H19" t="s">
        <v>26</v>
      </c>
      <c r="I19" t="s">
        <v>38</v>
      </c>
    </row>
    <row r="20" spans="1:9" x14ac:dyDescent="0.3">
      <c r="A20" t="s">
        <v>71</v>
      </c>
      <c r="B20" t="s">
        <v>72</v>
      </c>
      <c r="C20" t="s">
        <v>30</v>
      </c>
      <c r="D20" t="s">
        <v>37</v>
      </c>
      <c r="E20" t="s">
        <v>37</v>
      </c>
      <c r="F20" t="s">
        <v>14</v>
      </c>
      <c r="G20" t="s">
        <v>15</v>
      </c>
      <c r="H20" t="s">
        <v>27</v>
      </c>
      <c r="I20" t="s">
        <v>73</v>
      </c>
    </row>
    <row r="21" spans="1:9" x14ac:dyDescent="0.3">
      <c r="A21" t="s">
        <v>74</v>
      </c>
      <c r="B21" t="s">
        <v>75</v>
      </c>
      <c r="C21" t="s">
        <v>18</v>
      </c>
      <c r="D21" t="s">
        <v>13</v>
      </c>
      <c r="E21" t="s">
        <v>14</v>
      </c>
      <c r="F21" t="s">
        <v>13</v>
      </c>
      <c r="G21" t="s">
        <v>32</v>
      </c>
      <c r="H21" t="s">
        <v>22</v>
      </c>
      <c r="I21" t="s">
        <v>28</v>
      </c>
    </row>
    <row r="22" spans="1:9" x14ac:dyDescent="0.3">
      <c r="A22" t="s">
        <v>76</v>
      </c>
      <c r="B22" t="s">
        <v>77</v>
      </c>
      <c r="C22" t="s">
        <v>52</v>
      </c>
      <c r="D22" t="s">
        <v>26</v>
      </c>
      <c r="E22" t="s">
        <v>22</v>
      </c>
      <c r="F22" t="s">
        <v>26</v>
      </c>
      <c r="G22" t="s">
        <v>26</v>
      </c>
      <c r="H22" t="s">
        <v>15</v>
      </c>
      <c r="I22" t="s">
        <v>78</v>
      </c>
    </row>
    <row r="23" spans="1:9" x14ac:dyDescent="0.3">
      <c r="A23" t="s">
        <v>79</v>
      </c>
      <c r="B23" t="s">
        <v>80</v>
      </c>
      <c r="C23" t="s">
        <v>18</v>
      </c>
      <c r="D23" t="s">
        <v>32</v>
      </c>
      <c r="E23" t="s">
        <v>20</v>
      </c>
      <c r="F23" t="s">
        <v>15</v>
      </c>
      <c r="G23" t="s">
        <v>22</v>
      </c>
      <c r="H23" t="s">
        <v>14</v>
      </c>
      <c r="I23" t="s">
        <v>81</v>
      </c>
    </row>
    <row r="24" spans="1:9" x14ac:dyDescent="0.3">
      <c r="A24" t="s">
        <v>82</v>
      </c>
      <c r="B24" t="s">
        <v>83</v>
      </c>
      <c r="C24" t="s">
        <v>51</v>
      </c>
      <c r="D24" t="s">
        <v>37</v>
      </c>
      <c r="E24" t="s">
        <v>15</v>
      </c>
      <c r="F24" t="s">
        <v>14</v>
      </c>
      <c r="G24" t="s">
        <v>37</v>
      </c>
      <c r="H24" t="s">
        <v>32</v>
      </c>
      <c r="I24" t="s">
        <v>84</v>
      </c>
    </row>
    <row r="25" spans="1:9" x14ac:dyDescent="0.3">
      <c r="A25" t="s">
        <v>85</v>
      </c>
      <c r="B25" t="s">
        <v>86</v>
      </c>
      <c r="C25" t="s">
        <v>31</v>
      </c>
      <c r="D25" t="s">
        <v>12</v>
      </c>
      <c r="E25" t="s">
        <v>37</v>
      </c>
      <c r="F25" t="s">
        <v>13</v>
      </c>
      <c r="G25" t="s">
        <v>21</v>
      </c>
      <c r="H25" t="s">
        <v>21</v>
      </c>
      <c r="I25" t="s">
        <v>69</v>
      </c>
    </row>
    <row r="26" spans="1:9" x14ac:dyDescent="0.3">
      <c r="A26" t="s">
        <v>87</v>
      </c>
      <c r="B26" t="s">
        <v>10</v>
      </c>
      <c r="C26" t="s">
        <v>58</v>
      </c>
      <c r="D26" t="s">
        <v>27</v>
      </c>
      <c r="E26" t="s">
        <v>32</v>
      </c>
      <c r="F26" t="s">
        <v>21</v>
      </c>
      <c r="G26" t="s">
        <v>14</v>
      </c>
      <c r="H26" t="s">
        <v>14</v>
      </c>
      <c r="I26" t="s">
        <v>88</v>
      </c>
    </row>
    <row r="27" spans="1:9" x14ac:dyDescent="0.3">
      <c r="A27" t="s">
        <v>89</v>
      </c>
      <c r="B27" t="s">
        <v>18</v>
      </c>
      <c r="C27" t="s">
        <v>51</v>
      </c>
      <c r="D27" t="s">
        <v>20</v>
      </c>
      <c r="E27" t="s">
        <v>22</v>
      </c>
      <c r="F27" t="s">
        <v>15</v>
      </c>
      <c r="G27" t="s">
        <v>26</v>
      </c>
      <c r="H27" t="s">
        <v>27</v>
      </c>
      <c r="I27" t="s">
        <v>90</v>
      </c>
    </row>
    <row r="28" spans="1:9" x14ac:dyDescent="0.3">
      <c r="A28" t="s">
        <v>91</v>
      </c>
      <c r="B28" t="s">
        <v>18</v>
      </c>
      <c r="C28" t="s">
        <v>75</v>
      </c>
      <c r="D28" t="s">
        <v>14</v>
      </c>
      <c r="E28" t="s">
        <v>12</v>
      </c>
      <c r="F28" t="s">
        <v>14</v>
      </c>
      <c r="G28" t="s">
        <v>14</v>
      </c>
      <c r="H28" t="s">
        <v>32</v>
      </c>
      <c r="I28" t="s">
        <v>73</v>
      </c>
    </row>
    <row r="29" spans="1:9" x14ac:dyDescent="0.3">
      <c r="A29" t="s">
        <v>92</v>
      </c>
      <c r="B29" t="s">
        <v>30</v>
      </c>
      <c r="C29" t="s">
        <v>36</v>
      </c>
      <c r="D29" t="s">
        <v>26</v>
      </c>
      <c r="E29" t="s">
        <v>26</v>
      </c>
      <c r="F29" t="s">
        <v>12</v>
      </c>
      <c r="G29" t="s">
        <v>32</v>
      </c>
      <c r="H29" t="s">
        <v>32</v>
      </c>
      <c r="I29" t="s">
        <v>93</v>
      </c>
    </row>
    <row r="30" spans="1:9" x14ac:dyDescent="0.3">
      <c r="A30" t="s">
        <v>94</v>
      </c>
      <c r="B30" t="s">
        <v>95</v>
      </c>
      <c r="C30" t="s">
        <v>75</v>
      </c>
      <c r="D30" t="s">
        <v>21</v>
      </c>
      <c r="E30" t="s">
        <v>12</v>
      </c>
      <c r="F30" t="s">
        <v>13</v>
      </c>
      <c r="G30" t="s">
        <v>20</v>
      </c>
      <c r="H30" t="s">
        <v>13</v>
      </c>
      <c r="I30" t="s">
        <v>96</v>
      </c>
    </row>
    <row r="31" spans="1:9" x14ac:dyDescent="0.3">
      <c r="A31" t="s">
        <v>97</v>
      </c>
      <c r="B31" t="s">
        <v>75</v>
      </c>
      <c r="C31" t="s">
        <v>51</v>
      </c>
      <c r="D31" t="s">
        <v>27</v>
      </c>
      <c r="E31" t="s">
        <v>12</v>
      </c>
      <c r="F31" t="s">
        <v>32</v>
      </c>
      <c r="G31" t="s">
        <v>37</v>
      </c>
      <c r="H31" t="s">
        <v>13</v>
      </c>
      <c r="I31" t="s">
        <v>98</v>
      </c>
    </row>
    <row r="32" spans="1:9" x14ac:dyDescent="0.3">
      <c r="A32" t="s">
        <v>99</v>
      </c>
      <c r="B32" t="s">
        <v>95</v>
      </c>
      <c r="C32" t="s">
        <v>25</v>
      </c>
      <c r="D32" t="s">
        <v>20</v>
      </c>
      <c r="E32" t="s">
        <v>13</v>
      </c>
      <c r="F32" t="s">
        <v>14</v>
      </c>
      <c r="G32" t="s">
        <v>14</v>
      </c>
      <c r="H32" t="s">
        <v>20</v>
      </c>
      <c r="I32" t="s">
        <v>43</v>
      </c>
    </row>
    <row r="33" spans="1:9" x14ac:dyDescent="0.3">
      <c r="A33" t="s">
        <v>100</v>
      </c>
      <c r="B33" t="s">
        <v>51</v>
      </c>
      <c r="C33" t="s">
        <v>36</v>
      </c>
      <c r="D33" t="s">
        <v>13</v>
      </c>
      <c r="E33" t="s">
        <v>32</v>
      </c>
      <c r="F33" t="s">
        <v>20</v>
      </c>
      <c r="G33" t="s">
        <v>32</v>
      </c>
      <c r="H33" t="s">
        <v>14</v>
      </c>
      <c r="I33" t="s">
        <v>93</v>
      </c>
    </row>
    <row r="34" spans="1:9" x14ac:dyDescent="0.3">
      <c r="A34" t="s">
        <v>101</v>
      </c>
      <c r="B34" t="s">
        <v>75</v>
      </c>
      <c r="C34" t="s">
        <v>25</v>
      </c>
      <c r="D34" t="s">
        <v>32</v>
      </c>
      <c r="E34" t="s">
        <v>13</v>
      </c>
      <c r="F34" t="s">
        <v>22</v>
      </c>
      <c r="G34" t="s">
        <v>12</v>
      </c>
      <c r="H34" t="s">
        <v>20</v>
      </c>
      <c r="I34" t="s">
        <v>102</v>
      </c>
    </row>
    <row r="35" spans="1:9" x14ac:dyDescent="0.3">
      <c r="A35" t="s">
        <v>103</v>
      </c>
      <c r="B35" t="s">
        <v>95</v>
      </c>
      <c r="C35" t="s">
        <v>75</v>
      </c>
      <c r="D35" t="s">
        <v>22</v>
      </c>
      <c r="E35" t="s">
        <v>12</v>
      </c>
      <c r="F35" t="s">
        <v>32</v>
      </c>
      <c r="G35" t="s">
        <v>14</v>
      </c>
      <c r="H35" t="s">
        <v>21</v>
      </c>
      <c r="I35" t="s">
        <v>104</v>
      </c>
    </row>
    <row r="36" spans="1:9" x14ac:dyDescent="0.3">
      <c r="A36" t="s">
        <v>105</v>
      </c>
      <c r="B36" t="s">
        <v>18</v>
      </c>
      <c r="C36" t="s">
        <v>106</v>
      </c>
      <c r="D36" t="s">
        <v>12</v>
      </c>
      <c r="E36" t="s">
        <v>27</v>
      </c>
      <c r="F36" t="s">
        <v>20</v>
      </c>
      <c r="G36" t="s">
        <v>32</v>
      </c>
      <c r="H36" t="s">
        <v>13</v>
      </c>
      <c r="I36" t="s">
        <v>43</v>
      </c>
    </row>
    <row r="37" spans="1:9" x14ac:dyDescent="0.3">
      <c r="A37" t="s">
        <v>107</v>
      </c>
      <c r="B37" t="s">
        <v>42</v>
      </c>
      <c r="C37" t="s">
        <v>10</v>
      </c>
      <c r="D37" t="s">
        <v>32</v>
      </c>
      <c r="E37" t="s">
        <v>26</v>
      </c>
      <c r="F37" t="s">
        <v>37</v>
      </c>
      <c r="G37" t="s">
        <v>37</v>
      </c>
      <c r="H37" t="s">
        <v>15</v>
      </c>
      <c r="I37" t="s">
        <v>23</v>
      </c>
    </row>
    <row r="38" spans="1:9" x14ac:dyDescent="0.3">
      <c r="A38" t="s">
        <v>108</v>
      </c>
      <c r="B38" t="s">
        <v>51</v>
      </c>
      <c r="C38" t="s">
        <v>36</v>
      </c>
      <c r="D38" t="s">
        <v>21</v>
      </c>
      <c r="E38" t="s">
        <v>26</v>
      </c>
      <c r="F38" t="s">
        <v>37</v>
      </c>
      <c r="G38" t="s">
        <v>12</v>
      </c>
      <c r="H38" t="s">
        <v>14</v>
      </c>
      <c r="I38" t="s">
        <v>109</v>
      </c>
    </row>
    <row r="39" spans="1:9" x14ac:dyDescent="0.3">
      <c r="A39" t="s">
        <v>110</v>
      </c>
      <c r="B39" t="s">
        <v>25</v>
      </c>
      <c r="C39" t="s">
        <v>10</v>
      </c>
      <c r="D39" t="s">
        <v>26</v>
      </c>
      <c r="E39" t="s">
        <v>37</v>
      </c>
      <c r="F39" t="s">
        <v>32</v>
      </c>
      <c r="G39" t="s">
        <v>21</v>
      </c>
      <c r="H39" t="s">
        <v>14</v>
      </c>
      <c r="I39" t="s">
        <v>98</v>
      </c>
    </row>
    <row r="40" spans="1:9" x14ac:dyDescent="0.3">
      <c r="A40" t="s">
        <v>111</v>
      </c>
      <c r="B40" t="s">
        <v>25</v>
      </c>
      <c r="C40" t="s">
        <v>25</v>
      </c>
      <c r="D40" t="s">
        <v>27</v>
      </c>
      <c r="E40" t="s">
        <v>21</v>
      </c>
      <c r="F40" t="s">
        <v>13</v>
      </c>
      <c r="G40" t="s">
        <v>15</v>
      </c>
      <c r="H40" t="s">
        <v>14</v>
      </c>
      <c r="I40" t="s">
        <v>33</v>
      </c>
    </row>
    <row r="41" spans="1:9" x14ac:dyDescent="0.3">
      <c r="A41" t="s">
        <v>112</v>
      </c>
      <c r="B41" t="s">
        <v>25</v>
      </c>
      <c r="C41" t="s">
        <v>48</v>
      </c>
      <c r="D41" t="s">
        <v>26</v>
      </c>
      <c r="E41" t="s">
        <v>13</v>
      </c>
      <c r="F41" t="s">
        <v>27</v>
      </c>
      <c r="G41" t="s">
        <v>12</v>
      </c>
      <c r="H41" t="s">
        <v>13</v>
      </c>
      <c r="I41" t="s">
        <v>113</v>
      </c>
    </row>
    <row r="42" spans="1:9" x14ac:dyDescent="0.3">
      <c r="A42" t="s">
        <v>114</v>
      </c>
      <c r="B42" t="s">
        <v>51</v>
      </c>
      <c r="C42" t="s">
        <v>63</v>
      </c>
      <c r="D42" t="s">
        <v>15</v>
      </c>
      <c r="E42" t="s">
        <v>13</v>
      </c>
      <c r="F42" t="s">
        <v>27</v>
      </c>
      <c r="G42" t="s">
        <v>21</v>
      </c>
      <c r="H42" t="s">
        <v>37</v>
      </c>
      <c r="I42" t="s">
        <v>98</v>
      </c>
    </row>
    <row r="43" spans="1:9" x14ac:dyDescent="0.3">
      <c r="A43" t="s">
        <v>115</v>
      </c>
      <c r="B43" t="s">
        <v>116</v>
      </c>
      <c r="C43" t="s">
        <v>19</v>
      </c>
      <c r="D43" t="s">
        <v>13</v>
      </c>
      <c r="E43" t="s">
        <v>14</v>
      </c>
      <c r="F43" t="s">
        <v>22</v>
      </c>
      <c r="G43" t="s">
        <v>26</v>
      </c>
      <c r="H43" t="s">
        <v>21</v>
      </c>
      <c r="I43" t="s">
        <v>78</v>
      </c>
    </row>
    <row r="44" spans="1:9" x14ac:dyDescent="0.3">
      <c r="A44" t="s">
        <v>117</v>
      </c>
      <c r="B44" t="s">
        <v>10</v>
      </c>
      <c r="C44" t="s">
        <v>86</v>
      </c>
      <c r="D44" t="s">
        <v>26</v>
      </c>
      <c r="E44" t="s">
        <v>13</v>
      </c>
      <c r="F44" t="s">
        <v>22</v>
      </c>
      <c r="G44" t="s">
        <v>12</v>
      </c>
      <c r="H44" t="s">
        <v>22</v>
      </c>
      <c r="I44" t="s">
        <v>84</v>
      </c>
    </row>
    <row r="45" spans="1:9" x14ac:dyDescent="0.3">
      <c r="A45" t="s">
        <v>118</v>
      </c>
      <c r="B45" t="s">
        <v>35</v>
      </c>
      <c r="C45" t="s">
        <v>86</v>
      </c>
      <c r="D45" t="s">
        <v>26</v>
      </c>
      <c r="E45" t="s">
        <v>22</v>
      </c>
      <c r="F45" t="s">
        <v>26</v>
      </c>
      <c r="G45" t="s">
        <v>22</v>
      </c>
      <c r="H45" t="s">
        <v>12</v>
      </c>
      <c r="I45" t="s">
        <v>119</v>
      </c>
    </row>
    <row r="46" spans="1:9" x14ac:dyDescent="0.3">
      <c r="A46" t="s">
        <v>120</v>
      </c>
      <c r="B46" t="s">
        <v>30</v>
      </c>
      <c r="C46" t="s">
        <v>68</v>
      </c>
      <c r="D46" t="s">
        <v>21</v>
      </c>
      <c r="E46" t="s">
        <v>27</v>
      </c>
      <c r="F46" t="s">
        <v>13</v>
      </c>
      <c r="G46" t="s">
        <v>12</v>
      </c>
      <c r="H46" t="s">
        <v>14</v>
      </c>
      <c r="I46" t="s">
        <v>121</v>
      </c>
    </row>
    <row r="47" spans="1:9" x14ac:dyDescent="0.3">
      <c r="A47" t="s">
        <v>122</v>
      </c>
      <c r="B47" t="s">
        <v>10</v>
      </c>
      <c r="C47" t="s">
        <v>123</v>
      </c>
      <c r="D47" t="s">
        <v>22</v>
      </c>
      <c r="E47" t="s">
        <v>13</v>
      </c>
      <c r="F47" t="s">
        <v>22</v>
      </c>
      <c r="G47" t="s">
        <v>13</v>
      </c>
      <c r="H47" t="s">
        <v>12</v>
      </c>
      <c r="I47" t="s">
        <v>124</v>
      </c>
    </row>
    <row r="48" spans="1:9" x14ac:dyDescent="0.3">
      <c r="A48" t="s">
        <v>125</v>
      </c>
      <c r="B48" t="s">
        <v>47</v>
      </c>
      <c r="C48" t="s">
        <v>86</v>
      </c>
      <c r="D48" t="s">
        <v>32</v>
      </c>
      <c r="E48" t="s">
        <v>20</v>
      </c>
      <c r="F48" t="s">
        <v>20</v>
      </c>
      <c r="G48" t="s">
        <v>37</v>
      </c>
      <c r="H48" t="s">
        <v>37</v>
      </c>
      <c r="I48" t="s">
        <v>126</v>
      </c>
    </row>
    <row r="49" spans="1:9" x14ac:dyDescent="0.3">
      <c r="A49" t="s">
        <v>127</v>
      </c>
      <c r="B49" t="s">
        <v>116</v>
      </c>
      <c r="C49" t="s">
        <v>63</v>
      </c>
      <c r="D49" t="s">
        <v>13</v>
      </c>
      <c r="E49" t="s">
        <v>14</v>
      </c>
      <c r="F49" t="s">
        <v>12</v>
      </c>
      <c r="G49" t="s">
        <v>32</v>
      </c>
      <c r="H49" t="s">
        <v>32</v>
      </c>
      <c r="I49" t="s">
        <v>28</v>
      </c>
    </row>
    <row r="50" spans="1:9" x14ac:dyDescent="0.3">
      <c r="A50" t="s">
        <v>128</v>
      </c>
      <c r="B50" t="s">
        <v>25</v>
      </c>
      <c r="C50" t="s">
        <v>52</v>
      </c>
      <c r="D50" t="s">
        <v>12</v>
      </c>
      <c r="E50" t="s">
        <v>12</v>
      </c>
      <c r="F50" t="s">
        <v>32</v>
      </c>
      <c r="G50" t="s">
        <v>32</v>
      </c>
      <c r="H50" t="s">
        <v>12</v>
      </c>
      <c r="I50" t="s">
        <v>129</v>
      </c>
    </row>
    <row r="51" spans="1:9" x14ac:dyDescent="0.3">
      <c r="A51" t="s">
        <v>130</v>
      </c>
      <c r="B51" t="s">
        <v>80</v>
      </c>
      <c r="C51" t="s">
        <v>55</v>
      </c>
      <c r="D51" t="s">
        <v>21</v>
      </c>
      <c r="E51" t="s">
        <v>26</v>
      </c>
      <c r="F51" t="s">
        <v>32</v>
      </c>
      <c r="G51" t="s">
        <v>37</v>
      </c>
      <c r="H51" t="s">
        <v>32</v>
      </c>
      <c r="I51" t="s">
        <v>131</v>
      </c>
    </row>
    <row r="52" spans="1:9" x14ac:dyDescent="0.3">
      <c r="A52" t="s">
        <v>132</v>
      </c>
      <c r="B52" t="s">
        <v>116</v>
      </c>
      <c r="C52" t="s">
        <v>11</v>
      </c>
      <c r="D52" t="s">
        <v>21</v>
      </c>
      <c r="E52" t="s">
        <v>22</v>
      </c>
      <c r="F52" t="s">
        <v>27</v>
      </c>
      <c r="G52" t="s">
        <v>15</v>
      </c>
      <c r="H52" t="s">
        <v>22</v>
      </c>
      <c r="I52" t="s">
        <v>133</v>
      </c>
    </row>
    <row r="53" spans="1:9" x14ac:dyDescent="0.3">
      <c r="A53" t="s">
        <v>134</v>
      </c>
      <c r="B53" t="s">
        <v>42</v>
      </c>
      <c r="C53" t="s">
        <v>52</v>
      </c>
      <c r="D53" t="s">
        <v>15</v>
      </c>
      <c r="E53" t="s">
        <v>15</v>
      </c>
      <c r="F53" t="s">
        <v>37</v>
      </c>
      <c r="G53" t="s">
        <v>14</v>
      </c>
      <c r="H53" t="s">
        <v>37</v>
      </c>
      <c r="I53" t="s">
        <v>93</v>
      </c>
    </row>
    <row r="54" spans="1:9" x14ac:dyDescent="0.3">
      <c r="A54" t="s">
        <v>135</v>
      </c>
      <c r="B54" t="s">
        <v>136</v>
      </c>
      <c r="C54" t="s">
        <v>65</v>
      </c>
      <c r="D54" t="s">
        <v>22</v>
      </c>
      <c r="E54" t="s">
        <v>15</v>
      </c>
      <c r="F54" t="s">
        <v>13</v>
      </c>
      <c r="G54" t="s">
        <v>26</v>
      </c>
      <c r="H54" t="s">
        <v>37</v>
      </c>
      <c r="I54" t="s">
        <v>90</v>
      </c>
    </row>
    <row r="55" spans="1:9" x14ac:dyDescent="0.3">
      <c r="A55" t="s">
        <v>137</v>
      </c>
      <c r="B55" t="s">
        <v>83</v>
      </c>
      <c r="C55" t="s">
        <v>51</v>
      </c>
      <c r="D55" t="s">
        <v>32</v>
      </c>
      <c r="E55" t="s">
        <v>21</v>
      </c>
      <c r="F55" t="s">
        <v>13</v>
      </c>
      <c r="G55" t="s">
        <v>26</v>
      </c>
      <c r="H55" t="s">
        <v>37</v>
      </c>
      <c r="I55" t="s">
        <v>56</v>
      </c>
    </row>
    <row r="56" spans="1:9" x14ac:dyDescent="0.3">
      <c r="A56" t="s">
        <v>138</v>
      </c>
      <c r="B56" t="s">
        <v>25</v>
      </c>
      <c r="C56" t="s">
        <v>51</v>
      </c>
      <c r="D56" t="s">
        <v>12</v>
      </c>
      <c r="E56" t="s">
        <v>14</v>
      </c>
      <c r="F56" t="s">
        <v>37</v>
      </c>
      <c r="G56" t="s">
        <v>12</v>
      </c>
      <c r="H56" t="s">
        <v>21</v>
      </c>
      <c r="I56" t="s">
        <v>121</v>
      </c>
    </row>
    <row r="57" spans="1:9" x14ac:dyDescent="0.3">
      <c r="A57" t="s">
        <v>139</v>
      </c>
      <c r="B57" t="s">
        <v>42</v>
      </c>
      <c r="C57" t="s">
        <v>51</v>
      </c>
      <c r="D57" t="s">
        <v>21</v>
      </c>
      <c r="E57" t="s">
        <v>37</v>
      </c>
      <c r="F57" t="s">
        <v>22</v>
      </c>
      <c r="G57" t="s">
        <v>26</v>
      </c>
      <c r="H57" t="s">
        <v>12</v>
      </c>
      <c r="I57" t="s">
        <v>90</v>
      </c>
    </row>
    <row r="58" spans="1:9" x14ac:dyDescent="0.3">
      <c r="A58" t="s">
        <v>140</v>
      </c>
      <c r="B58" t="s">
        <v>47</v>
      </c>
      <c r="C58" t="s">
        <v>52</v>
      </c>
      <c r="D58" t="s">
        <v>15</v>
      </c>
      <c r="E58" t="s">
        <v>27</v>
      </c>
      <c r="F58" t="s">
        <v>15</v>
      </c>
      <c r="G58" t="s">
        <v>32</v>
      </c>
      <c r="H58" t="s">
        <v>27</v>
      </c>
      <c r="I58" t="s">
        <v>43</v>
      </c>
    </row>
    <row r="59" spans="1:9" x14ac:dyDescent="0.3">
      <c r="A59" t="s">
        <v>141</v>
      </c>
      <c r="B59" t="s">
        <v>86</v>
      </c>
      <c r="C59" t="s">
        <v>36</v>
      </c>
      <c r="D59" t="s">
        <v>20</v>
      </c>
      <c r="E59" t="s">
        <v>21</v>
      </c>
      <c r="F59" t="s">
        <v>20</v>
      </c>
      <c r="G59" t="s">
        <v>14</v>
      </c>
      <c r="H59" t="s">
        <v>12</v>
      </c>
      <c r="I59" t="s">
        <v>60</v>
      </c>
    </row>
    <row r="60" spans="1:9" x14ac:dyDescent="0.3">
      <c r="A60" t="s">
        <v>142</v>
      </c>
      <c r="B60" t="s">
        <v>75</v>
      </c>
      <c r="C60" t="s">
        <v>68</v>
      </c>
      <c r="D60" t="s">
        <v>27</v>
      </c>
      <c r="E60" t="s">
        <v>15</v>
      </c>
      <c r="F60" t="s">
        <v>21</v>
      </c>
      <c r="G60" t="s">
        <v>14</v>
      </c>
      <c r="H60" t="s">
        <v>12</v>
      </c>
      <c r="I60" t="s">
        <v>73</v>
      </c>
    </row>
    <row r="61" spans="1:9" x14ac:dyDescent="0.3">
      <c r="A61" t="s">
        <v>143</v>
      </c>
      <c r="B61" t="s">
        <v>25</v>
      </c>
      <c r="C61" t="s">
        <v>48</v>
      </c>
      <c r="D61" t="s">
        <v>15</v>
      </c>
      <c r="E61" t="s">
        <v>15</v>
      </c>
      <c r="F61" t="s">
        <v>20</v>
      </c>
      <c r="G61" t="s">
        <v>26</v>
      </c>
      <c r="H61" t="s">
        <v>12</v>
      </c>
      <c r="I61" t="s">
        <v>98</v>
      </c>
    </row>
    <row r="62" spans="1:9" x14ac:dyDescent="0.3">
      <c r="A62" t="s">
        <v>144</v>
      </c>
      <c r="B62" t="s">
        <v>106</v>
      </c>
      <c r="C62" t="s">
        <v>75</v>
      </c>
      <c r="D62" t="s">
        <v>32</v>
      </c>
      <c r="E62" t="s">
        <v>22</v>
      </c>
      <c r="F62" t="s">
        <v>26</v>
      </c>
      <c r="G62" t="s">
        <v>22</v>
      </c>
      <c r="H62" t="s">
        <v>12</v>
      </c>
      <c r="I62" t="s">
        <v>81</v>
      </c>
    </row>
    <row r="63" spans="1:9" x14ac:dyDescent="0.3">
      <c r="A63" t="s">
        <v>145</v>
      </c>
      <c r="B63" t="s">
        <v>10</v>
      </c>
      <c r="C63" t="s">
        <v>31</v>
      </c>
      <c r="D63" t="s">
        <v>22</v>
      </c>
      <c r="E63" t="s">
        <v>15</v>
      </c>
      <c r="F63" t="s">
        <v>21</v>
      </c>
      <c r="G63" t="s">
        <v>20</v>
      </c>
      <c r="H63" t="s">
        <v>21</v>
      </c>
      <c r="I63" t="s">
        <v>60</v>
      </c>
    </row>
    <row r="64" spans="1:9" x14ac:dyDescent="0.3">
      <c r="A64" t="s">
        <v>146</v>
      </c>
      <c r="B64" t="s">
        <v>75</v>
      </c>
      <c r="C64" t="s">
        <v>31</v>
      </c>
      <c r="D64" t="s">
        <v>20</v>
      </c>
      <c r="E64" t="s">
        <v>12</v>
      </c>
      <c r="F64" t="s">
        <v>26</v>
      </c>
      <c r="G64" t="s">
        <v>26</v>
      </c>
      <c r="H64" t="s">
        <v>27</v>
      </c>
      <c r="I64" t="s">
        <v>38</v>
      </c>
    </row>
    <row r="65" spans="1:9" x14ac:dyDescent="0.3">
      <c r="A65" t="s">
        <v>147</v>
      </c>
      <c r="B65" t="s">
        <v>77</v>
      </c>
      <c r="C65" t="s">
        <v>58</v>
      </c>
      <c r="D65" t="s">
        <v>15</v>
      </c>
      <c r="E65" t="s">
        <v>21</v>
      </c>
      <c r="F65" t="s">
        <v>15</v>
      </c>
      <c r="G65" t="s">
        <v>37</v>
      </c>
      <c r="H65" t="s">
        <v>27</v>
      </c>
      <c r="I65" t="s">
        <v>56</v>
      </c>
    </row>
    <row r="66" spans="1:9" x14ac:dyDescent="0.3">
      <c r="A66" t="s">
        <v>148</v>
      </c>
      <c r="B66" t="s">
        <v>51</v>
      </c>
      <c r="C66" t="s">
        <v>55</v>
      </c>
      <c r="D66" t="s">
        <v>21</v>
      </c>
      <c r="E66" t="s">
        <v>26</v>
      </c>
      <c r="F66" t="s">
        <v>12</v>
      </c>
      <c r="G66" t="s">
        <v>12</v>
      </c>
      <c r="H66" t="s">
        <v>14</v>
      </c>
      <c r="I66" t="s">
        <v>149</v>
      </c>
    </row>
    <row r="67" spans="1:9" x14ac:dyDescent="0.3">
      <c r="A67" t="s">
        <v>150</v>
      </c>
      <c r="B67" t="s">
        <v>63</v>
      </c>
      <c r="C67" t="s">
        <v>31</v>
      </c>
      <c r="D67" t="s">
        <v>26</v>
      </c>
      <c r="E67" t="s">
        <v>32</v>
      </c>
      <c r="F67" t="s">
        <v>22</v>
      </c>
      <c r="G67" t="s">
        <v>13</v>
      </c>
      <c r="H67" t="s">
        <v>22</v>
      </c>
      <c r="I67" t="s">
        <v>151</v>
      </c>
    </row>
    <row r="68" spans="1:9" x14ac:dyDescent="0.3">
      <c r="A68" t="s">
        <v>152</v>
      </c>
      <c r="B68" t="s">
        <v>136</v>
      </c>
      <c r="C68" t="s">
        <v>11</v>
      </c>
      <c r="D68" t="s">
        <v>22</v>
      </c>
      <c r="E68" t="s">
        <v>27</v>
      </c>
      <c r="F68" t="s">
        <v>37</v>
      </c>
      <c r="G68" t="s">
        <v>12</v>
      </c>
      <c r="H68" t="s">
        <v>37</v>
      </c>
      <c r="I68" t="s">
        <v>98</v>
      </c>
    </row>
    <row r="69" spans="1:9" x14ac:dyDescent="0.3">
      <c r="A69" t="s">
        <v>153</v>
      </c>
      <c r="B69" t="s">
        <v>47</v>
      </c>
      <c r="C69" t="s">
        <v>51</v>
      </c>
      <c r="D69" t="s">
        <v>27</v>
      </c>
      <c r="E69" t="s">
        <v>22</v>
      </c>
      <c r="F69" t="s">
        <v>26</v>
      </c>
      <c r="G69" t="s">
        <v>27</v>
      </c>
      <c r="H69" t="s">
        <v>20</v>
      </c>
      <c r="I69" t="s">
        <v>126</v>
      </c>
    </row>
    <row r="70" spans="1:9" x14ac:dyDescent="0.3">
      <c r="A70" t="s">
        <v>154</v>
      </c>
      <c r="B70" t="s">
        <v>106</v>
      </c>
      <c r="C70" t="s">
        <v>51</v>
      </c>
      <c r="D70" t="s">
        <v>22</v>
      </c>
      <c r="E70" t="s">
        <v>15</v>
      </c>
      <c r="F70" t="s">
        <v>13</v>
      </c>
      <c r="G70" t="s">
        <v>22</v>
      </c>
      <c r="H70" t="s">
        <v>22</v>
      </c>
      <c r="I70" t="s">
        <v>84</v>
      </c>
    </row>
    <row r="71" spans="1:9" x14ac:dyDescent="0.3">
      <c r="A71" t="s">
        <v>155</v>
      </c>
      <c r="B71" t="s">
        <v>42</v>
      </c>
      <c r="C71" t="s">
        <v>18</v>
      </c>
      <c r="D71" t="s">
        <v>21</v>
      </c>
      <c r="E71" t="s">
        <v>21</v>
      </c>
      <c r="F71" t="s">
        <v>15</v>
      </c>
      <c r="G71" t="s">
        <v>15</v>
      </c>
      <c r="H71" t="s">
        <v>32</v>
      </c>
      <c r="I71" t="s">
        <v>156</v>
      </c>
    </row>
    <row r="72" spans="1:9" x14ac:dyDescent="0.3">
      <c r="A72" t="s">
        <v>157</v>
      </c>
      <c r="B72" t="s">
        <v>136</v>
      </c>
      <c r="C72" t="s">
        <v>123</v>
      </c>
      <c r="D72" t="s">
        <v>32</v>
      </c>
      <c r="E72" t="s">
        <v>37</v>
      </c>
      <c r="F72" t="s">
        <v>21</v>
      </c>
      <c r="G72" t="s">
        <v>21</v>
      </c>
      <c r="H72" t="s">
        <v>21</v>
      </c>
      <c r="I72" t="s">
        <v>43</v>
      </c>
    </row>
    <row r="73" spans="1:9" x14ac:dyDescent="0.3">
      <c r="A73" t="s">
        <v>158</v>
      </c>
      <c r="B73" t="s">
        <v>75</v>
      </c>
      <c r="C73" t="s">
        <v>30</v>
      </c>
      <c r="D73" t="s">
        <v>12</v>
      </c>
      <c r="E73" t="s">
        <v>37</v>
      </c>
      <c r="F73" t="s">
        <v>21</v>
      </c>
      <c r="G73" t="s">
        <v>21</v>
      </c>
      <c r="H73" t="s">
        <v>37</v>
      </c>
      <c r="I73" t="s">
        <v>159</v>
      </c>
    </row>
    <row r="74" spans="1:9" x14ac:dyDescent="0.3">
      <c r="A74" t="s">
        <v>160</v>
      </c>
      <c r="B74" t="s">
        <v>35</v>
      </c>
      <c r="C74" t="s">
        <v>68</v>
      </c>
      <c r="D74" t="s">
        <v>37</v>
      </c>
      <c r="E74" t="s">
        <v>27</v>
      </c>
      <c r="F74" t="s">
        <v>14</v>
      </c>
      <c r="G74" t="s">
        <v>21</v>
      </c>
      <c r="H74" t="s">
        <v>32</v>
      </c>
      <c r="I74" t="s">
        <v>43</v>
      </c>
    </row>
    <row r="75" spans="1:9" x14ac:dyDescent="0.3">
      <c r="A75" t="s">
        <v>161</v>
      </c>
      <c r="B75" t="s">
        <v>42</v>
      </c>
      <c r="C75" t="s">
        <v>31</v>
      </c>
      <c r="D75" t="s">
        <v>15</v>
      </c>
      <c r="E75" t="s">
        <v>27</v>
      </c>
      <c r="F75" t="s">
        <v>12</v>
      </c>
      <c r="G75" t="s">
        <v>13</v>
      </c>
      <c r="H75" t="s">
        <v>37</v>
      </c>
      <c r="I75" t="s">
        <v>131</v>
      </c>
    </row>
    <row r="76" spans="1:9" x14ac:dyDescent="0.3">
      <c r="A76" t="s">
        <v>162</v>
      </c>
      <c r="B76" t="s">
        <v>47</v>
      </c>
      <c r="C76" t="s">
        <v>10</v>
      </c>
      <c r="D76" t="s">
        <v>15</v>
      </c>
      <c r="E76" t="s">
        <v>12</v>
      </c>
      <c r="F76" t="s">
        <v>20</v>
      </c>
      <c r="G76" t="s">
        <v>13</v>
      </c>
      <c r="H76" t="s">
        <v>13</v>
      </c>
      <c r="I76" t="s">
        <v>56</v>
      </c>
    </row>
    <row r="77" spans="1:9" x14ac:dyDescent="0.3">
      <c r="A77" t="s">
        <v>163</v>
      </c>
      <c r="B77" t="s">
        <v>63</v>
      </c>
      <c r="C77" t="s">
        <v>19</v>
      </c>
      <c r="D77" t="s">
        <v>12</v>
      </c>
      <c r="E77" t="s">
        <v>20</v>
      </c>
      <c r="F77" t="s">
        <v>22</v>
      </c>
      <c r="G77" t="s">
        <v>14</v>
      </c>
      <c r="H77" t="s">
        <v>21</v>
      </c>
      <c r="I77" t="s">
        <v>159</v>
      </c>
    </row>
    <row r="78" spans="1:9" x14ac:dyDescent="0.3">
      <c r="A78" t="s">
        <v>164</v>
      </c>
      <c r="B78" t="s">
        <v>63</v>
      </c>
      <c r="C78" t="s">
        <v>10</v>
      </c>
      <c r="D78" t="s">
        <v>20</v>
      </c>
      <c r="E78" t="s">
        <v>22</v>
      </c>
      <c r="F78" t="s">
        <v>22</v>
      </c>
      <c r="G78" t="s">
        <v>26</v>
      </c>
      <c r="H78" t="s">
        <v>22</v>
      </c>
      <c r="I78" t="s">
        <v>96</v>
      </c>
    </row>
    <row r="79" spans="1:9" x14ac:dyDescent="0.3">
      <c r="A79" t="s">
        <v>165</v>
      </c>
      <c r="B79" t="s">
        <v>136</v>
      </c>
      <c r="C79" t="s">
        <v>11</v>
      </c>
      <c r="D79" t="s">
        <v>21</v>
      </c>
      <c r="E79" t="s">
        <v>21</v>
      </c>
      <c r="F79" t="s">
        <v>15</v>
      </c>
      <c r="G79" t="s">
        <v>37</v>
      </c>
      <c r="H79" t="s">
        <v>22</v>
      </c>
      <c r="I79" t="s">
        <v>60</v>
      </c>
    </row>
    <row r="80" spans="1:9" x14ac:dyDescent="0.3">
      <c r="A80" t="s">
        <v>166</v>
      </c>
      <c r="B80" t="s">
        <v>95</v>
      </c>
      <c r="C80" t="s">
        <v>25</v>
      </c>
      <c r="D80" t="s">
        <v>20</v>
      </c>
      <c r="E80" t="s">
        <v>21</v>
      </c>
      <c r="F80" t="s">
        <v>37</v>
      </c>
      <c r="G80" t="s">
        <v>32</v>
      </c>
      <c r="H80" t="s">
        <v>26</v>
      </c>
      <c r="I80" t="s">
        <v>96</v>
      </c>
    </row>
    <row r="81" spans="1:9" x14ac:dyDescent="0.3">
      <c r="A81" t="s">
        <v>167</v>
      </c>
      <c r="B81" t="s">
        <v>83</v>
      </c>
      <c r="C81" t="s">
        <v>48</v>
      </c>
      <c r="D81" t="s">
        <v>12</v>
      </c>
      <c r="E81" t="s">
        <v>20</v>
      </c>
      <c r="F81" t="s">
        <v>13</v>
      </c>
      <c r="G81" t="s">
        <v>12</v>
      </c>
      <c r="H81" t="s">
        <v>22</v>
      </c>
      <c r="I81" t="s">
        <v>81</v>
      </c>
    </row>
    <row r="82" spans="1:9" x14ac:dyDescent="0.3">
      <c r="A82" t="s">
        <v>168</v>
      </c>
      <c r="B82" t="s">
        <v>83</v>
      </c>
      <c r="C82" t="s">
        <v>106</v>
      </c>
      <c r="D82" t="s">
        <v>20</v>
      </c>
      <c r="E82" t="s">
        <v>27</v>
      </c>
      <c r="F82" t="s">
        <v>20</v>
      </c>
      <c r="G82" t="s">
        <v>27</v>
      </c>
      <c r="H82" t="s">
        <v>15</v>
      </c>
      <c r="I82" t="s">
        <v>169</v>
      </c>
    </row>
    <row r="83" spans="1:9" x14ac:dyDescent="0.3">
      <c r="A83" t="s">
        <v>170</v>
      </c>
      <c r="B83" t="s">
        <v>116</v>
      </c>
      <c r="C83" t="s">
        <v>55</v>
      </c>
      <c r="D83" t="s">
        <v>20</v>
      </c>
      <c r="E83" t="s">
        <v>20</v>
      </c>
      <c r="F83" t="s">
        <v>14</v>
      </c>
      <c r="G83" t="s">
        <v>20</v>
      </c>
      <c r="H83" t="s">
        <v>21</v>
      </c>
      <c r="I83" t="s">
        <v>40</v>
      </c>
    </row>
    <row r="84" spans="1:9" x14ac:dyDescent="0.3">
      <c r="A84" t="s">
        <v>171</v>
      </c>
      <c r="B84" t="s">
        <v>18</v>
      </c>
      <c r="C84" t="s">
        <v>80</v>
      </c>
      <c r="D84" t="s">
        <v>27</v>
      </c>
      <c r="E84" t="s">
        <v>20</v>
      </c>
      <c r="F84" t="s">
        <v>20</v>
      </c>
      <c r="G84" t="s">
        <v>13</v>
      </c>
      <c r="H84" t="s">
        <v>21</v>
      </c>
      <c r="I84" t="s">
        <v>172</v>
      </c>
    </row>
    <row r="85" spans="1:9" x14ac:dyDescent="0.3">
      <c r="A85" t="s">
        <v>173</v>
      </c>
      <c r="B85" t="s">
        <v>77</v>
      </c>
      <c r="C85" t="s">
        <v>11</v>
      </c>
      <c r="D85" t="s">
        <v>14</v>
      </c>
      <c r="E85" t="s">
        <v>15</v>
      </c>
      <c r="F85" t="s">
        <v>22</v>
      </c>
      <c r="G85" t="s">
        <v>26</v>
      </c>
      <c r="H85" t="s">
        <v>37</v>
      </c>
      <c r="I85" t="s">
        <v>38</v>
      </c>
    </row>
    <row r="86" spans="1:9" x14ac:dyDescent="0.3">
      <c r="A86" t="s">
        <v>174</v>
      </c>
      <c r="B86" t="s">
        <v>80</v>
      </c>
      <c r="C86" t="s">
        <v>51</v>
      </c>
      <c r="D86" t="s">
        <v>37</v>
      </c>
      <c r="E86" t="s">
        <v>37</v>
      </c>
      <c r="F86" t="s">
        <v>32</v>
      </c>
      <c r="G86" t="s">
        <v>37</v>
      </c>
      <c r="H86" t="s">
        <v>15</v>
      </c>
      <c r="I86" t="s">
        <v>93</v>
      </c>
    </row>
    <row r="87" spans="1:9" x14ac:dyDescent="0.3">
      <c r="A87" t="s">
        <v>175</v>
      </c>
      <c r="B87" t="s">
        <v>65</v>
      </c>
      <c r="C87" t="s">
        <v>52</v>
      </c>
      <c r="D87" t="s">
        <v>37</v>
      </c>
      <c r="E87" t="s">
        <v>15</v>
      </c>
      <c r="F87" t="s">
        <v>20</v>
      </c>
      <c r="G87" t="s">
        <v>22</v>
      </c>
      <c r="H87" t="s">
        <v>14</v>
      </c>
      <c r="I87" t="s">
        <v>98</v>
      </c>
    </row>
    <row r="88" spans="1:9" x14ac:dyDescent="0.3">
      <c r="A88" t="s">
        <v>176</v>
      </c>
      <c r="B88" t="s">
        <v>77</v>
      </c>
      <c r="C88" t="s">
        <v>31</v>
      </c>
      <c r="D88" t="s">
        <v>22</v>
      </c>
      <c r="E88" t="s">
        <v>22</v>
      </c>
      <c r="F88" t="s">
        <v>26</v>
      </c>
      <c r="G88" t="s">
        <v>37</v>
      </c>
      <c r="H88" t="s">
        <v>14</v>
      </c>
      <c r="I88" t="s">
        <v>159</v>
      </c>
    </row>
    <row r="89" spans="1:9" x14ac:dyDescent="0.3">
      <c r="A89" t="s">
        <v>177</v>
      </c>
      <c r="B89" t="s">
        <v>30</v>
      </c>
      <c r="C89" t="s">
        <v>19</v>
      </c>
      <c r="D89" t="s">
        <v>32</v>
      </c>
      <c r="E89" t="s">
        <v>32</v>
      </c>
      <c r="F89" t="s">
        <v>37</v>
      </c>
      <c r="G89" t="s">
        <v>22</v>
      </c>
      <c r="H89" t="s">
        <v>22</v>
      </c>
      <c r="I89" t="s">
        <v>38</v>
      </c>
    </row>
    <row r="90" spans="1:9" x14ac:dyDescent="0.3">
      <c r="A90" t="s">
        <v>178</v>
      </c>
      <c r="B90" t="s">
        <v>179</v>
      </c>
      <c r="C90" t="s">
        <v>106</v>
      </c>
      <c r="D90" t="s">
        <v>14</v>
      </c>
      <c r="E90" t="s">
        <v>20</v>
      </c>
      <c r="F90" t="s">
        <v>32</v>
      </c>
      <c r="G90" t="s">
        <v>14</v>
      </c>
      <c r="H90" t="s">
        <v>15</v>
      </c>
      <c r="I90" t="s">
        <v>180</v>
      </c>
    </row>
    <row r="91" spans="1:9" x14ac:dyDescent="0.3">
      <c r="A91" t="s">
        <v>181</v>
      </c>
      <c r="B91" t="s">
        <v>179</v>
      </c>
      <c r="C91" t="s">
        <v>75</v>
      </c>
      <c r="D91" t="s">
        <v>32</v>
      </c>
      <c r="E91" t="s">
        <v>26</v>
      </c>
      <c r="F91" t="s">
        <v>15</v>
      </c>
      <c r="G91" t="s">
        <v>20</v>
      </c>
      <c r="H91" t="s">
        <v>22</v>
      </c>
      <c r="I91" t="s">
        <v>119</v>
      </c>
    </row>
    <row r="92" spans="1:9" x14ac:dyDescent="0.3">
      <c r="A92" t="s">
        <v>182</v>
      </c>
      <c r="B92" t="s">
        <v>77</v>
      </c>
      <c r="C92" t="s">
        <v>36</v>
      </c>
      <c r="D92" t="s">
        <v>15</v>
      </c>
      <c r="E92" t="s">
        <v>21</v>
      </c>
      <c r="F92" t="s">
        <v>22</v>
      </c>
      <c r="G92" t="s">
        <v>21</v>
      </c>
      <c r="H92" t="s">
        <v>27</v>
      </c>
      <c r="I92" t="s">
        <v>49</v>
      </c>
    </row>
    <row r="93" spans="1:9" x14ac:dyDescent="0.3">
      <c r="A93" t="s">
        <v>183</v>
      </c>
      <c r="B93" t="s">
        <v>25</v>
      </c>
      <c r="C93" t="s">
        <v>106</v>
      </c>
      <c r="D93" t="s">
        <v>37</v>
      </c>
      <c r="E93" t="s">
        <v>15</v>
      </c>
      <c r="F93" t="s">
        <v>27</v>
      </c>
      <c r="G93" t="s">
        <v>27</v>
      </c>
      <c r="H93" t="s">
        <v>32</v>
      </c>
      <c r="I93" t="s">
        <v>78</v>
      </c>
    </row>
    <row r="94" spans="1:9" x14ac:dyDescent="0.3">
      <c r="A94" t="s">
        <v>184</v>
      </c>
      <c r="B94" t="s">
        <v>47</v>
      </c>
      <c r="C94" t="s">
        <v>25</v>
      </c>
      <c r="D94" t="s">
        <v>15</v>
      </c>
      <c r="E94" t="s">
        <v>21</v>
      </c>
      <c r="F94" t="s">
        <v>32</v>
      </c>
      <c r="G94" t="s">
        <v>14</v>
      </c>
      <c r="H94" t="s">
        <v>21</v>
      </c>
      <c r="I94" t="s">
        <v>49</v>
      </c>
    </row>
    <row r="95" spans="1:9" x14ac:dyDescent="0.3">
      <c r="A95" t="s">
        <v>185</v>
      </c>
      <c r="B95" t="s">
        <v>179</v>
      </c>
      <c r="C95" t="s">
        <v>68</v>
      </c>
      <c r="D95" t="s">
        <v>21</v>
      </c>
      <c r="E95" t="s">
        <v>32</v>
      </c>
      <c r="F95" t="s">
        <v>15</v>
      </c>
      <c r="G95" t="s">
        <v>15</v>
      </c>
      <c r="H95" t="s">
        <v>14</v>
      </c>
      <c r="I95" t="s">
        <v>84</v>
      </c>
    </row>
    <row r="96" spans="1:9" x14ac:dyDescent="0.3">
      <c r="A96" t="s">
        <v>186</v>
      </c>
      <c r="B96" t="s">
        <v>51</v>
      </c>
      <c r="C96" t="s">
        <v>10</v>
      </c>
      <c r="D96" t="s">
        <v>13</v>
      </c>
      <c r="E96" t="s">
        <v>22</v>
      </c>
      <c r="F96" t="s">
        <v>15</v>
      </c>
      <c r="G96" t="s">
        <v>22</v>
      </c>
      <c r="H96" t="s">
        <v>27</v>
      </c>
      <c r="I96" t="s">
        <v>159</v>
      </c>
    </row>
    <row r="97" spans="1:9" x14ac:dyDescent="0.3">
      <c r="A97" t="s">
        <v>187</v>
      </c>
      <c r="B97" t="s">
        <v>65</v>
      </c>
      <c r="C97" t="s">
        <v>25</v>
      </c>
      <c r="D97" t="s">
        <v>22</v>
      </c>
      <c r="E97" t="s">
        <v>20</v>
      </c>
      <c r="F97" t="s">
        <v>21</v>
      </c>
      <c r="G97" t="s">
        <v>32</v>
      </c>
      <c r="H97" t="s">
        <v>13</v>
      </c>
      <c r="I97" t="s">
        <v>81</v>
      </c>
    </row>
    <row r="98" spans="1:9" x14ac:dyDescent="0.3">
      <c r="A98" t="s">
        <v>188</v>
      </c>
      <c r="B98" t="s">
        <v>77</v>
      </c>
      <c r="C98" t="s">
        <v>58</v>
      </c>
      <c r="D98" t="s">
        <v>14</v>
      </c>
      <c r="E98" t="s">
        <v>12</v>
      </c>
      <c r="F98" t="s">
        <v>14</v>
      </c>
      <c r="G98" t="s">
        <v>26</v>
      </c>
      <c r="H98" t="s">
        <v>21</v>
      </c>
      <c r="I98" t="s">
        <v>189</v>
      </c>
    </row>
    <row r="99" spans="1:9" x14ac:dyDescent="0.3">
      <c r="A99" t="s">
        <v>190</v>
      </c>
      <c r="B99" t="s">
        <v>42</v>
      </c>
      <c r="C99" t="s">
        <v>36</v>
      </c>
      <c r="D99" t="s">
        <v>37</v>
      </c>
      <c r="E99" t="s">
        <v>32</v>
      </c>
      <c r="F99" t="s">
        <v>26</v>
      </c>
      <c r="G99" t="s">
        <v>27</v>
      </c>
      <c r="H99" t="s">
        <v>22</v>
      </c>
      <c r="I99" t="s">
        <v>23</v>
      </c>
    </row>
    <row r="100" spans="1:9" x14ac:dyDescent="0.3">
      <c r="A100" t="s">
        <v>191</v>
      </c>
      <c r="B100" t="s">
        <v>106</v>
      </c>
      <c r="C100" t="s">
        <v>68</v>
      </c>
      <c r="D100" t="s">
        <v>20</v>
      </c>
      <c r="E100" t="s">
        <v>32</v>
      </c>
      <c r="F100" t="s">
        <v>22</v>
      </c>
      <c r="G100" t="s">
        <v>21</v>
      </c>
      <c r="H100" t="s">
        <v>14</v>
      </c>
      <c r="I100" t="s">
        <v>23</v>
      </c>
    </row>
    <row r="101" spans="1:9" x14ac:dyDescent="0.3">
      <c r="A101" t="s">
        <v>192</v>
      </c>
      <c r="B101" t="s">
        <v>18</v>
      </c>
      <c r="C101" t="s">
        <v>68</v>
      </c>
      <c r="D101" t="s">
        <v>27</v>
      </c>
      <c r="E101" t="s">
        <v>32</v>
      </c>
      <c r="F101" t="s">
        <v>14</v>
      </c>
      <c r="G101" t="s">
        <v>26</v>
      </c>
      <c r="H101" t="s">
        <v>27</v>
      </c>
      <c r="I101" t="s">
        <v>38</v>
      </c>
    </row>
    <row r="102" spans="1:9" x14ac:dyDescent="0.3">
      <c r="A102" t="s">
        <v>193</v>
      </c>
      <c r="B102" t="s">
        <v>75</v>
      </c>
      <c r="C102" t="s">
        <v>68</v>
      </c>
      <c r="D102" t="s">
        <v>32</v>
      </c>
      <c r="E102" t="s">
        <v>37</v>
      </c>
      <c r="F102" t="s">
        <v>22</v>
      </c>
      <c r="G102" t="s">
        <v>15</v>
      </c>
      <c r="H102" t="s">
        <v>27</v>
      </c>
      <c r="I102" t="s">
        <v>28</v>
      </c>
    </row>
    <row r="103" spans="1:9" x14ac:dyDescent="0.3">
      <c r="A103" t="s">
        <v>194</v>
      </c>
      <c r="B103" t="s">
        <v>42</v>
      </c>
      <c r="C103" t="s">
        <v>55</v>
      </c>
      <c r="D103" t="s">
        <v>12</v>
      </c>
      <c r="E103" t="s">
        <v>26</v>
      </c>
      <c r="F103" t="s">
        <v>13</v>
      </c>
      <c r="G103" t="s">
        <v>21</v>
      </c>
      <c r="H103" t="s">
        <v>22</v>
      </c>
      <c r="I103" t="s">
        <v>189</v>
      </c>
    </row>
    <row r="104" spans="1:9" x14ac:dyDescent="0.3">
      <c r="A104" t="s">
        <v>195</v>
      </c>
      <c r="B104" t="s">
        <v>86</v>
      </c>
      <c r="C104" t="s">
        <v>30</v>
      </c>
      <c r="D104" t="s">
        <v>14</v>
      </c>
      <c r="E104" t="s">
        <v>14</v>
      </c>
      <c r="F104" t="s">
        <v>15</v>
      </c>
      <c r="G104" t="s">
        <v>27</v>
      </c>
      <c r="H104" t="s">
        <v>22</v>
      </c>
      <c r="I104" t="s">
        <v>102</v>
      </c>
    </row>
    <row r="105" spans="1:9" x14ac:dyDescent="0.3">
      <c r="A105" t="s">
        <v>196</v>
      </c>
      <c r="B105" t="s">
        <v>83</v>
      </c>
      <c r="C105" t="s">
        <v>30</v>
      </c>
      <c r="D105" t="s">
        <v>13</v>
      </c>
      <c r="E105" t="s">
        <v>37</v>
      </c>
      <c r="F105" t="s">
        <v>22</v>
      </c>
      <c r="G105" t="s">
        <v>20</v>
      </c>
      <c r="H105" t="s">
        <v>27</v>
      </c>
      <c r="I105" t="s">
        <v>172</v>
      </c>
    </row>
    <row r="106" spans="1:9" x14ac:dyDescent="0.3">
      <c r="A106" t="s">
        <v>197</v>
      </c>
      <c r="B106" t="s">
        <v>86</v>
      </c>
      <c r="C106" t="s">
        <v>51</v>
      </c>
      <c r="D106" t="s">
        <v>15</v>
      </c>
      <c r="E106" t="s">
        <v>37</v>
      </c>
      <c r="F106" t="s">
        <v>13</v>
      </c>
      <c r="G106" t="s">
        <v>37</v>
      </c>
      <c r="H106" t="s">
        <v>14</v>
      </c>
      <c r="I106" t="s">
        <v>121</v>
      </c>
    </row>
    <row r="107" spans="1:9" x14ac:dyDescent="0.3">
      <c r="A107" t="s">
        <v>198</v>
      </c>
      <c r="B107" t="s">
        <v>51</v>
      </c>
      <c r="C107" t="s">
        <v>31</v>
      </c>
      <c r="D107" t="s">
        <v>21</v>
      </c>
      <c r="E107" t="s">
        <v>21</v>
      </c>
      <c r="F107" t="s">
        <v>37</v>
      </c>
      <c r="G107" t="s">
        <v>13</v>
      </c>
      <c r="H107" t="s">
        <v>26</v>
      </c>
      <c r="I107" t="s">
        <v>53</v>
      </c>
    </row>
    <row r="108" spans="1:9" x14ac:dyDescent="0.3">
      <c r="A108" t="s">
        <v>199</v>
      </c>
      <c r="B108" t="s">
        <v>63</v>
      </c>
      <c r="C108" t="s">
        <v>123</v>
      </c>
      <c r="D108" t="s">
        <v>22</v>
      </c>
      <c r="E108" t="s">
        <v>26</v>
      </c>
      <c r="F108" t="s">
        <v>13</v>
      </c>
      <c r="G108" t="s">
        <v>12</v>
      </c>
      <c r="H108" t="s">
        <v>26</v>
      </c>
      <c r="I108" t="s">
        <v>113</v>
      </c>
    </row>
    <row r="109" spans="1:9" x14ac:dyDescent="0.3">
      <c r="A109" t="s">
        <v>200</v>
      </c>
      <c r="B109" t="s">
        <v>47</v>
      </c>
      <c r="C109" t="s">
        <v>10</v>
      </c>
      <c r="D109" t="s">
        <v>12</v>
      </c>
      <c r="E109" t="s">
        <v>12</v>
      </c>
      <c r="F109" t="s">
        <v>13</v>
      </c>
      <c r="G109" t="s">
        <v>12</v>
      </c>
      <c r="H109" t="s">
        <v>14</v>
      </c>
      <c r="I109" t="s">
        <v>189</v>
      </c>
    </row>
    <row r="110" spans="1:9" x14ac:dyDescent="0.3">
      <c r="A110" t="s">
        <v>201</v>
      </c>
      <c r="B110" t="s">
        <v>10</v>
      </c>
      <c r="C110" t="s">
        <v>75</v>
      </c>
      <c r="D110" t="s">
        <v>21</v>
      </c>
      <c r="E110" t="s">
        <v>27</v>
      </c>
      <c r="F110" t="s">
        <v>20</v>
      </c>
      <c r="G110" t="s">
        <v>37</v>
      </c>
      <c r="H110" t="s">
        <v>14</v>
      </c>
      <c r="I110" t="s">
        <v>56</v>
      </c>
    </row>
    <row r="111" spans="1:9" x14ac:dyDescent="0.3">
      <c r="A111" t="s">
        <v>202</v>
      </c>
      <c r="B111" t="s">
        <v>30</v>
      </c>
      <c r="C111" t="s">
        <v>123</v>
      </c>
      <c r="D111" t="s">
        <v>27</v>
      </c>
      <c r="E111" t="s">
        <v>20</v>
      </c>
      <c r="F111" t="s">
        <v>15</v>
      </c>
      <c r="G111" t="s">
        <v>12</v>
      </c>
      <c r="H111" t="s">
        <v>15</v>
      </c>
      <c r="I111" t="s">
        <v>33</v>
      </c>
    </row>
    <row r="112" spans="1:9" x14ac:dyDescent="0.3">
      <c r="A112" t="s">
        <v>203</v>
      </c>
      <c r="B112" t="s">
        <v>75</v>
      </c>
      <c r="C112" t="s">
        <v>25</v>
      </c>
      <c r="D112" t="s">
        <v>14</v>
      </c>
      <c r="E112" t="s">
        <v>12</v>
      </c>
      <c r="F112" t="s">
        <v>12</v>
      </c>
      <c r="G112" t="s">
        <v>22</v>
      </c>
      <c r="H112" t="s">
        <v>13</v>
      </c>
      <c r="I112" t="s">
        <v>69</v>
      </c>
    </row>
    <row r="113" spans="1:9" x14ac:dyDescent="0.3">
      <c r="A113" t="s">
        <v>204</v>
      </c>
      <c r="B113" t="s">
        <v>35</v>
      </c>
      <c r="C113" t="s">
        <v>31</v>
      </c>
      <c r="D113" t="s">
        <v>20</v>
      </c>
      <c r="E113" t="s">
        <v>26</v>
      </c>
      <c r="F113" t="s">
        <v>14</v>
      </c>
      <c r="G113" t="s">
        <v>12</v>
      </c>
      <c r="H113" t="s">
        <v>20</v>
      </c>
      <c r="I113" t="s">
        <v>133</v>
      </c>
    </row>
    <row r="114" spans="1:9" x14ac:dyDescent="0.3">
      <c r="A114" t="s">
        <v>205</v>
      </c>
      <c r="B114" t="s">
        <v>42</v>
      </c>
      <c r="C114" t="s">
        <v>58</v>
      </c>
      <c r="D114" t="s">
        <v>20</v>
      </c>
      <c r="E114" t="s">
        <v>32</v>
      </c>
      <c r="F114" t="s">
        <v>12</v>
      </c>
      <c r="G114" t="s">
        <v>22</v>
      </c>
      <c r="H114" t="s">
        <v>21</v>
      </c>
      <c r="I114" t="s">
        <v>206</v>
      </c>
    </row>
    <row r="115" spans="1:9" x14ac:dyDescent="0.3">
      <c r="A115" t="s">
        <v>207</v>
      </c>
      <c r="B115" t="s">
        <v>106</v>
      </c>
      <c r="C115" t="s">
        <v>106</v>
      </c>
      <c r="D115" t="s">
        <v>22</v>
      </c>
      <c r="E115" t="s">
        <v>37</v>
      </c>
      <c r="F115" t="s">
        <v>13</v>
      </c>
      <c r="G115" t="s">
        <v>15</v>
      </c>
      <c r="H115" t="s">
        <v>15</v>
      </c>
      <c r="I115" t="s">
        <v>28</v>
      </c>
    </row>
    <row r="116" spans="1:9" x14ac:dyDescent="0.3">
      <c r="A116" t="s">
        <v>208</v>
      </c>
      <c r="B116" t="s">
        <v>51</v>
      </c>
      <c r="C116" t="s">
        <v>86</v>
      </c>
      <c r="D116" t="s">
        <v>21</v>
      </c>
      <c r="E116" t="s">
        <v>20</v>
      </c>
      <c r="F116" t="s">
        <v>20</v>
      </c>
      <c r="G116" t="s">
        <v>27</v>
      </c>
      <c r="H116" t="s">
        <v>21</v>
      </c>
      <c r="I116" t="s">
        <v>209</v>
      </c>
    </row>
    <row r="117" spans="1:9" x14ac:dyDescent="0.3">
      <c r="A117" t="s">
        <v>210</v>
      </c>
      <c r="B117" t="s">
        <v>35</v>
      </c>
      <c r="C117" t="s">
        <v>68</v>
      </c>
      <c r="D117" t="s">
        <v>15</v>
      </c>
      <c r="E117" t="s">
        <v>12</v>
      </c>
      <c r="F117" t="s">
        <v>12</v>
      </c>
      <c r="G117" t="s">
        <v>20</v>
      </c>
      <c r="H117" t="s">
        <v>15</v>
      </c>
      <c r="I117" t="s">
        <v>133</v>
      </c>
    </row>
    <row r="118" spans="1:9" x14ac:dyDescent="0.3">
      <c r="A118" t="s">
        <v>211</v>
      </c>
      <c r="B118" t="s">
        <v>77</v>
      </c>
      <c r="C118" t="s">
        <v>58</v>
      </c>
      <c r="D118" t="s">
        <v>37</v>
      </c>
      <c r="E118" t="s">
        <v>12</v>
      </c>
      <c r="F118" t="s">
        <v>15</v>
      </c>
      <c r="G118" t="s">
        <v>21</v>
      </c>
      <c r="H118" t="s">
        <v>21</v>
      </c>
      <c r="I118" t="s">
        <v>56</v>
      </c>
    </row>
    <row r="119" spans="1:9" x14ac:dyDescent="0.3">
      <c r="A119" t="s">
        <v>212</v>
      </c>
      <c r="B119" t="s">
        <v>86</v>
      </c>
      <c r="C119" t="s">
        <v>65</v>
      </c>
      <c r="D119" t="s">
        <v>12</v>
      </c>
      <c r="E119" t="s">
        <v>37</v>
      </c>
      <c r="F119" t="s">
        <v>22</v>
      </c>
      <c r="G119" t="s">
        <v>26</v>
      </c>
      <c r="H119" t="s">
        <v>32</v>
      </c>
      <c r="I119" t="s">
        <v>56</v>
      </c>
    </row>
    <row r="120" spans="1:9" x14ac:dyDescent="0.3">
      <c r="A120" t="s">
        <v>213</v>
      </c>
      <c r="B120" t="s">
        <v>80</v>
      </c>
      <c r="C120" t="s">
        <v>25</v>
      </c>
      <c r="D120" t="s">
        <v>26</v>
      </c>
      <c r="E120" t="s">
        <v>27</v>
      </c>
      <c r="F120" t="s">
        <v>37</v>
      </c>
      <c r="G120" t="s">
        <v>32</v>
      </c>
      <c r="H120" t="s">
        <v>20</v>
      </c>
      <c r="I120" t="s">
        <v>159</v>
      </c>
    </row>
    <row r="121" spans="1:9" x14ac:dyDescent="0.3">
      <c r="A121" t="s">
        <v>214</v>
      </c>
      <c r="B121" t="s">
        <v>80</v>
      </c>
      <c r="C121" t="s">
        <v>123</v>
      </c>
      <c r="D121" t="s">
        <v>13</v>
      </c>
      <c r="E121" t="s">
        <v>12</v>
      </c>
      <c r="F121" t="s">
        <v>37</v>
      </c>
      <c r="G121" t="s">
        <v>26</v>
      </c>
      <c r="H121" t="s">
        <v>37</v>
      </c>
      <c r="I121" t="s">
        <v>215</v>
      </c>
    </row>
    <row r="122" spans="1:9" x14ac:dyDescent="0.3">
      <c r="A122" t="s">
        <v>216</v>
      </c>
      <c r="B122" t="s">
        <v>51</v>
      </c>
      <c r="C122" t="s">
        <v>25</v>
      </c>
      <c r="D122" t="s">
        <v>22</v>
      </c>
      <c r="E122" t="s">
        <v>13</v>
      </c>
      <c r="F122" t="s">
        <v>20</v>
      </c>
      <c r="G122" t="s">
        <v>13</v>
      </c>
      <c r="H122" t="s">
        <v>15</v>
      </c>
      <c r="I122" t="s">
        <v>69</v>
      </c>
    </row>
    <row r="123" spans="1:9" x14ac:dyDescent="0.3">
      <c r="A123" t="s">
        <v>217</v>
      </c>
      <c r="B123" t="s">
        <v>86</v>
      </c>
      <c r="C123" t="s">
        <v>19</v>
      </c>
      <c r="D123" t="s">
        <v>14</v>
      </c>
      <c r="E123" t="s">
        <v>27</v>
      </c>
      <c r="F123" t="s">
        <v>26</v>
      </c>
      <c r="G123" t="s">
        <v>22</v>
      </c>
      <c r="H123" t="s">
        <v>21</v>
      </c>
      <c r="I123" t="s">
        <v>23</v>
      </c>
    </row>
    <row r="124" spans="1:9" x14ac:dyDescent="0.3">
      <c r="A124" t="s">
        <v>218</v>
      </c>
      <c r="B124" t="s">
        <v>72</v>
      </c>
      <c r="C124" t="s">
        <v>58</v>
      </c>
      <c r="D124" t="s">
        <v>15</v>
      </c>
      <c r="E124" t="s">
        <v>20</v>
      </c>
      <c r="F124" t="s">
        <v>14</v>
      </c>
      <c r="G124" t="s">
        <v>37</v>
      </c>
      <c r="H124" t="s">
        <v>13</v>
      </c>
      <c r="I124" t="s">
        <v>88</v>
      </c>
    </row>
    <row r="125" spans="1:9" x14ac:dyDescent="0.3">
      <c r="A125" t="s">
        <v>219</v>
      </c>
      <c r="B125" t="s">
        <v>10</v>
      </c>
      <c r="C125" t="s">
        <v>80</v>
      </c>
      <c r="D125" t="s">
        <v>14</v>
      </c>
      <c r="E125" t="s">
        <v>37</v>
      </c>
      <c r="F125" t="s">
        <v>20</v>
      </c>
      <c r="G125" t="s">
        <v>20</v>
      </c>
      <c r="H125" t="s">
        <v>14</v>
      </c>
      <c r="I125" t="s">
        <v>189</v>
      </c>
    </row>
    <row r="126" spans="1:9" x14ac:dyDescent="0.3">
      <c r="A126" t="s">
        <v>220</v>
      </c>
      <c r="B126" t="s">
        <v>86</v>
      </c>
      <c r="C126" t="s">
        <v>18</v>
      </c>
      <c r="D126" t="s">
        <v>15</v>
      </c>
      <c r="E126" t="s">
        <v>22</v>
      </c>
      <c r="F126" t="s">
        <v>13</v>
      </c>
      <c r="G126" t="s">
        <v>20</v>
      </c>
      <c r="H126" t="s">
        <v>13</v>
      </c>
      <c r="I126" t="s">
        <v>43</v>
      </c>
    </row>
    <row r="127" spans="1:9" x14ac:dyDescent="0.3">
      <c r="A127" t="s">
        <v>221</v>
      </c>
      <c r="B127" t="s">
        <v>30</v>
      </c>
      <c r="C127" t="s">
        <v>68</v>
      </c>
      <c r="D127" t="s">
        <v>15</v>
      </c>
      <c r="E127" t="s">
        <v>21</v>
      </c>
      <c r="F127" t="s">
        <v>13</v>
      </c>
      <c r="G127" t="s">
        <v>21</v>
      </c>
      <c r="H127" t="s">
        <v>26</v>
      </c>
      <c r="I127" t="s">
        <v>131</v>
      </c>
    </row>
    <row r="128" spans="1:9" x14ac:dyDescent="0.3">
      <c r="A128" t="s">
        <v>222</v>
      </c>
      <c r="B128" t="s">
        <v>179</v>
      </c>
      <c r="C128" t="s">
        <v>11</v>
      </c>
      <c r="D128" t="s">
        <v>22</v>
      </c>
      <c r="E128" t="s">
        <v>21</v>
      </c>
      <c r="F128" t="s">
        <v>37</v>
      </c>
      <c r="G128" t="s">
        <v>22</v>
      </c>
      <c r="H128" t="s">
        <v>12</v>
      </c>
      <c r="I128" t="s">
        <v>189</v>
      </c>
    </row>
    <row r="129" spans="1:9" x14ac:dyDescent="0.3">
      <c r="A129" t="s">
        <v>223</v>
      </c>
      <c r="B129" t="s">
        <v>63</v>
      </c>
      <c r="C129" t="s">
        <v>80</v>
      </c>
      <c r="D129" t="s">
        <v>20</v>
      </c>
      <c r="E129" t="s">
        <v>21</v>
      </c>
      <c r="F129" t="s">
        <v>20</v>
      </c>
      <c r="G129" t="s">
        <v>32</v>
      </c>
      <c r="H129" t="s">
        <v>14</v>
      </c>
      <c r="I129" t="s">
        <v>96</v>
      </c>
    </row>
    <row r="130" spans="1:9" x14ac:dyDescent="0.3">
      <c r="A130" t="s">
        <v>224</v>
      </c>
      <c r="B130" t="s">
        <v>116</v>
      </c>
      <c r="C130" t="s">
        <v>86</v>
      </c>
      <c r="D130" t="s">
        <v>27</v>
      </c>
      <c r="E130" t="s">
        <v>20</v>
      </c>
      <c r="F130" t="s">
        <v>37</v>
      </c>
      <c r="G130" t="s">
        <v>21</v>
      </c>
      <c r="H130" t="s">
        <v>12</v>
      </c>
      <c r="I130" t="s">
        <v>49</v>
      </c>
    </row>
    <row r="131" spans="1:9" x14ac:dyDescent="0.3">
      <c r="A131" t="s">
        <v>225</v>
      </c>
      <c r="B131" t="s">
        <v>75</v>
      </c>
      <c r="C131" t="s">
        <v>18</v>
      </c>
      <c r="D131" t="s">
        <v>14</v>
      </c>
      <c r="E131" t="s">
        <v>12</v>
      </c>
      <c r="F131" t="s">
        <v>27</v>
      </c>
      <c r="G131" t="s">
        <v>21</v>
      </c>
      <c r="H131" t="s">
        <v>15</v>
      </c>
      <c r="I131" t="s">
        <v>56</v>
      </c>
    </row>
    <row r="132" spans="1:9" x14ac:dyDescent="0.3">
      <c r="A132" t="s">
        <v>226</v>
      </c>
      <c r="B132" t="s">
        <v>95</v>
      </c>
      <c r="C132" t="s">
        <v>63</v>
      </c>
      <c r="D132" t="s">
        <v>13</v>
      </c>
      <c r="E132" t="s">
        <v>14</v>
      </c>
      <c r="F132" t="s">
        <v>27</v>
      </c>
      <c r="G132" t="s">
        <v>26</v>
      </c>
      <c r="H132" t="s">
        <v>12</v>
      </c>
      <c r="I132" t="s">
        <v>189</v>
      </c>
    </row>
    <row r="133" spans="1:9" x14ac:dyDescent="0.3">
      <c r="A133" t="s">
        <v>227</v>
      </c>
      <c r="B133" t="s">
        <v>25</v>
      </c>
      <c r="C133" t="s">
        <v>58</v>
      </c>
      <c r="D133" t="s">
        <v>15</v>
      </c>
      <c r="E133" t="s">
        <v>27</v>
      </c>
      <c r="F133" t="s">
        <v>37</v>
      </c>
      <c r="G133" t="s">
        <v>22</v>
      </c>
      <c r="H133" t="s">
        <v>37</v>
      </c>
      <c r="I133" t="s">
        <v>121</v>
      </c>
    </row>
    <row r="134" spans="1:9" x14ac:dyDescent="0.3">
      <c r="A134" t="s">
        <v>228</v>
      </c>
      <c r="B134" t="s">
        <v>77</v>
      </c>
      <c r="C134" t="s">
        <v>11</v>
      </c>
      <c r="D134" t="s">
        <v>21</v>
      </c>
      <c r="E134" t="s">
        <v>12</v>
      </c>
      <c r="F134" t="s">
        <v>32</v>
      </c>
      <c r="G134" t="s">
        <v>37</v>
      </c>
      <c r="H134" t="s">
        <v>15</v>
      </c>
      <c r="I134" t="s">
        <v>159</v>
      </c>
    </row>
    <row r="135" spans="1:9" x14ac:dyDescent="0.3">
      <c r="A135" t="s">
        <v>229</v>
      </c>
      <c r="B135" t="s">
        <v>10</v>
      </c>
      <c r="C135" t="s">
        <v>10</v>
      </c>
      <c r="D135" t="s">
        <v>37</v>
      </c>
      <c r="E135" t="s">
        <v>32</v>
      </c>
      <c r="F135" t="s">
        <v>12</v>
      </c>
      <c r="G135" t="s">
        <v>15</v>
      </c>
      <c r="H135" t="s">
        <v>21</v>
      </c>
      <c r="I135" t="s">
        <v>78</v>
      </c>
    </row>
    <row r="136" spans="1:9" x14ac:dyDescent="0.3">
      <c r="A136" t="s">
        <v>230</v>
      </c>
      <c r="B136" t="s">
        <v>106</v>
      </c>
      <c r="C136" t="s">
        <v>31</v>
      </c>
      <c r="D136" t="s">
        <v>26</v>
      </c>
      <c r="E136" t="s">
        <v>22</v>
      </c>
      <c r="F136" t="s">
        <v>37</v>
      </c>
      <c r="G136" t="s">
        <v>15</v>
      </c>
      <c r="H136" t="s">
        <v>21</v>
      </c>
      <c r="I136" t="s">
        <v>98</v>
      </c>
    </row>
    <row r="137" spans="1:9" x14ac:dyDescent="0.3">
      <c r="A137" t="s">
        <v>231</v>
      </c>
      <c r="B137" t="s">
        <v>179</v>
      </c>
      <c r="C137" t="s">
        <v>36</v>
      </c>
      <c r="D137" t="s">
        <v>21</v>
      </c>
      <c r="E137" t="s">
        <v>15</v>
      </c>
      <c r="F137" t="s">
        <v>20</v>
      </c>
      <c r="G137" t="s">
        <v>21</v>
      </c>
      <c r="H137" t="s">
        <v>22</v>
      </c>
      <c r="I137" t="s">
        <v>206</v>
      </c>
    </row>
    <row r="138" spans="1:9" x14ac:dyDescent="0.3">
      <c r="A138" t="s">
        <v>232</v>
      </c>
      <c r="B138" t="s">
        <v>106</v>
      </c>
      <c r="C138" t="s">
        <v>123</v>
      </c>
      <c r="D138" t="s">
        <v>26</v>
      </c>
      <c r="E138" t="s">
        <v>26</v>
      </c>
      <c r="F138" t="s">
        <v>13</v>
      </c>
      <c r="G138" t="s">
        <v>13</v>
      </c>
      <c r="H138" t="s">
        <v>15</v>
      </c>
      <c r="I138" t="s">
        <v>233</v>
      </c>
    </row>
    <row r="139" spans="1:9" x14ac:dyDescent="0.3">
      <c r="A139" t="s">
        <v>234</v>
      </c>
      <c r="B139" t="s">
        <v>65</v>
      </c>
      <c r="C139" t="s">
        <v>19</v>
      </c>
      <c r="D139" t="s">
        <v>12</v>
      </c>
      <c r="E139" t="s">
        <v>12</v>
      </c>
      <c r="F139" t="s">
        <v>22</v>
      </c>
      <c r="G139" t="s">
        <v>27</v>
      </c>
      <c r="H139" t="s">
        <v>12</v>
      </c>
      <c r="I139" t="s">
        <v>78</v>
      </c>
    </row>
    <row r="140" spans="1:9" x14ac:dyDescent="0.3">
      <c r="A140" t="s">
        <v>235</v>
      </c>
      <c r="B140" t="s">
        <v>35</v>
      </c>
      <c r="C140" t="s">
        <v>63</v>
      </c>
      <c r="D140" t="s">
        <v>22</v>
      </c>
      <c r="E140" t="s">
        <v>12</v>
      </c>
      <c r="F140" t="s">
        <v>37</v>
      </c>
      <c r="G140" t="s">
        <v>32</v>
      </c>
      <c r="H140" t="s">
        <v>22</v>
      </c>
      <c r="I140" t="s">
        <v>236</v>
      </c>
    </row>
    <row r="141" spans="1:9" x14ac:dyDescent="0.3">
      <c r="A141" t="s">
        <v>237</v>
      </c>
      <c r="B141" t="s">
        <v>10</v>
      </c>
      <c r="C141" t="s">
        <v>80</v>
      </c>
      <c r="D141" t="s">
        <v>13</v>
      </c>
      <c r="E141" t="s">
        <v>13</v>
      </c>
      <c r="F141" t="s">
        <v>22</v>
      </c>
      <c r="G141" t="s">
        <v>15</v>
      </c>
      <c r="H141" t="s">
        <v>14</v>
      </c>
      <c r="I141" t="s">
        <v>69</v>
      </c>
    </row>
    <row r="142" spans="1:9" x14ac:dyDescent="0.3">
      <c r="A142" t="s">
        <v>238</v>
      </c>
      <c r="B142" t="s">
        <v>80</v>
      </c>
      <c r="C142" t="s">
        <v>68</v>
      </c>
      <c r="D142" t="s">
        <v>27</v>
      </c>
      <c r="E142" t="s">
        <v>15</v>
      </c>
      <c r="F142" t="s">
        <v>21</v>
      </c>
      <c r="G142" t="s">
        <v>22</v>
      </c>
      <c r="H142" t="s">
        <v>12</v>
      </c>
      <c r="I142" t="s">
        <v>159</v>
      </c>
    </row>
    <row r="143" spans="1:9" x14ac:dyDescent="0.3">
      <c r="A143" t="s">
        <v>239</v>
      </c>
      <c r="B143" t="s">
        <v>179</v>
      </c>
      <c r="C143" t="s">
        <v>80</v>
      </c>
      <c r="D143" t="s">
        <v>32</v>
      </c>
      <c r="E143" t="s">
        <v>22</v>
      </c>
      <c r="F143" t="s">
        <v>21</v>
      </c>
      <c r="G143" t="s">
        <v>15</v>
      </c>
      <c r="H143" t="s">
        <v>22</v>
      </c>
      <c r="I143" t="s">
        <v>119</v>
      </c>
    </row>
    <row r="144" spans="1:9" x14ac:dyDescent="0.3">
      <c r="A144" t="s">
        <v>240</v>
      </c>
      <c r="B144" t="s">
        <v>77</v>
      </c>
      <c r="C144" t="s">
        <v>52</v>
      </c>
      <c r="D144" t="s">
        <v>20</v>
      </c>
      <c r="E144" t="s">
        <v>13</v>
      </c>
      <c r="F144" t="s">
        <v>20</v>
      </c>
      <c r="G144" t="s">
        <v>37</v>
      </c>
      <c r="H144" t="s">
        <v>12</v>
      </c>
      <c r="I144" t="s">
        <v>28</v>
      </c>
    </row>
    <row r="145" spans="1:9" x14ac:dyDescent="0.3">
      <c r="A145" t="s">
        <v>241</v>
      </c>
      <c r="B145" t="s">
        <v>10</v>
      </c>
      <c r="C145" t="s">
        <v>55</v>
      </c>
      <c r="D145" t="s">
        <v>27</v>
      </c>
      <c r="E145" t="s">
        <v>21</v>
      </c>
      <c r="F145" t="s">
        <v>32</v>
      </c>
      <c r="G145" t="s">
        <v>32</v>
      </c>
      <c r="H145" t="s">
        <v>12</v>
      </c>
      <c r="I145" t="s">
        <v>38</v>
      </c>
    </row>
    <row r="146" spans="1:9" x14ac:dyDescent="0.3">
      <c r="A146" t="s">
        <v>242</v>
      </c>
      <c r="B146" t="s">
        <v>30</v>
      </c>
      <c r="C146" t="s">
        <v>80</v>
      </c>
      <c r="D146" t="s">
        <v>12</v>
      </c>
      <c r="E146" t="s">
        <v>21</v>
      </c>
      <c r="F146" t="s">
        <v>20</v>
      </c>
      <c r="G146" t="s">
        <v>13</v>
      </c>
      <c r="H146" t="s">
        <v>37</v>
      </c>
      <c r="I146" t="s">
        <v>73</v>
      </c>
    </row>
    <row r="147" spans="1:9" x14ac:dyDescent="0.3">
      <c r="A147" t="s">
        <v>243</v>
      </c>
      <c r="B147" t="s">
        <v>30</v>
      </c>
      <c r="C147" t="s">
        <v>51</v>
      </c>
      <c r="D147" t="s">
        <v>12</v>
      </c>
      <c r="E147" t="s">
        <v>32</v>
      </c>
      <c r="F147" t="s">
        <v>26</v>
      </c>
      <c r="G147" t="s">
        <v>32</v>
      </c>
      <c r="H147" t="s">
        <v>20</v>
      </c>
      <c r="I147" t="s">
        <v>78</v>
      </c>
    </row>
    <row r="148" spans="1:9" x14ac:dyDescent="0.3">
      <c r="A148" t="s">
        <v>244</v>
      </c>
      <c r="B148" t="s">
        <v>77</v>
      </c>
      <c r="C148" t="s">
        <v>25</v>
      </c>
      <c r="D148" t="s">
        <v>22</v>
      </c>
      <c r="E148" t="s">
        <v>14</v>
      </c>
      <c r="F148" t="s">
        <v>15</v>
      </c>
      <c r="G148" t="s">
        <v>13</v>
      </c>
      <c r="H148" t="s">
        <v>21</v>
      </c>
      <c r="I148" t="s">
        <v>56</v>
      </c>
    </row>
    <row r="149" spans="1:9" x14ac:dyDescent="0.3">
      <c r="A149" t="s">
        <v>245</v>
      </c>
      <c r="B149" t="s">
        <v>116</v>
      </c>
      <c r="C149" t="s">
        <v>18</v>
      </c>
      <c r="D149" t="s">
        <v>14</v>
      </c>
      <c r="E149" t="s">
        <v>13</v>
      </c>
      <c r="F149" t="s">
        <v>26</v>
      </c>
      <c r="G149" t="s">
        <v>22</v>
      </c>
      <c r="H149" t="s">
        <v>15</v>
      </c>
      <c r="I149" t="s">
        <v>23</v>
      </c>
    </row>
    <row r="150" spans="1:9" x14ac:dyDescent="0.3">
      <c r="A150" t="s">
        <v>246</v>
      </c>
      <c r="B150" t="s">
        <v>65</v>
      </c>
      <c r="C150" t="s">
        <v>10</v>
      </c>
      <c r="D150" t="s">
        <v>12</v>
      </c>
      <c r="E150" t="s">
        <v>21</v>
      </c>
      <c r="F150" t="s">
        <v>22</v>
      </c>
      <c r="G150" t="s">
        <v>12</v>
      </c>
      <c r="H150" t="s">
        <v>26</v>
      </c>
      <c r="I150" t="s">
        <v>56</v>
      </c>
    </row>
    <row r="151" spans="1:9" x14ac:dyDescent="0.3">
      <c r="A151" t="s">
        <v>247</v>
      </c>
      <c r="B151" t="s">
        <v>80</v>
      </c>
      <c r="C151" t="s">
        <v>51</v>
      </c>
      <c r="D151" t="s">
        <v>14</v>
      </c>
      <c r="E151" t="s">
        <v>32</v>
      </c>
      <c r="F151" t="s">
        <v>20</v>
      </c>
      <c r="G151" t="s">
        <v>12</v>
      </c>
      <c r="H151" t="s">
        <v>27</v>
      </c>
      <c r="I151" t="s">
        <v>189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51"/>
  <sheetViews>
    <sheetView workbookViewId="0">
      <selection sqref="A1:L1048576"/>
    </sheetView>
  </sheetViews>
  <sheetFormatPr defaultRowHeight="14.4" x14ac:dyDescent="0.3"/>
  <cols>
    <col min="1" max="1" width="25.109375" bestFit="1" customWidth="1"/>
    <col min="2" max="2" width="17.88671875" bestFit="1" customWidth="1"/>
    <col min="3" max="3" width="13.88671875" bestFit="1" customWidth="1"/>
    <col min="4" max="4" width="12.6640625" bestFit="1" customWidth="1"/>
    <col min="5" max="5" width="20.5546875" bestFit="1" customWidth="1"/>
    <col min="6" max="6" width="15" bestFit="1" customWidth="1"/>
    <col min="7" max="7" width="10.44140625" bestFit="1" customWidth="1"/>
    <col min="8" max="8" width="6" bestFit="1" customWidth="1"/>
    <col min="9" max="9" width="13.33203125" bestFit="1" customWidth="1"/>
    <col min="10" max="10" width="10.77734375" bestFit="1" customWidth="1"/>
    <col min="11" max="11" width="15.6640625" bestFit="1" customWidth="1"/>
    <col min="12" max="12" width="11.44140625" bestFit="1" customWidth="1"/>
  </cols>
  <sheetData>
    <row r="1" spans="1:12" x14ac:dyDescent="0.3">
      <c r="A1" t="s">
        <v>0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  <c r="H1" t="s">
        <v>254</v>
      </c>
      <c r="I1" t="s">
        <v>255</v>
      </c>
      <c r="J1" t="s">
        <v>256</v>
      </c>
      <c r="K1" t="s">
        <v>257</v>
      </c>
      <c r="L1" t="s">
        <v>258</v>
      </c>
    </row>
    <row r="2" spans="1:12" x14ac:dyDescent="0.3">
      <c r="A2" t="s">
        <v>9</v>
      </c>
      <c r="B2" t="s">
        <v>259</v>
      </c>
      <c r="C2" t="s">
        <v>260</v>
      </c>
      <c r="D2">
        <v>108</v>
      </c>
      <c r="E2" t="s">
        <v>261</v>
      </c>
      <c r="F2" t="s">
        <v>262</v>
      </c>
      <c r="G2" t="s">
        <v>263</v>
      </c>
      <c r="H2" t="s">
        <v>264</v>
      </c>
      <c r="I2" t="s">
        <v>265</v>
      </c>
      <c r="J2" t="s">
        <v>266</v>
      </c>
      <c r="K2" t="s">
        <v>267</v>
      </c>
      <c r="L2" t="s">
        <v>268</v>
      </c>
    </row>
    <row r="3" spans="1:12" x14ac:dyDescent="0.3">
      <c r="A3" t="s">
        <v>17</v>
      </c>
      <c r="B3" t="s">
        <v>269</v>
      </c>
      <c r="C3" t="s">
        <v>270</v>
      </c>
      <c r="D3">
        <v>87</v>
      </c>
      <c r="E3" t="s">
        <v>271</v>
      </c>
      <c r="F3" t="s">
        <v>272</v>
      </c>
      <c r="G3" t="s">
        <v>273</v>
      </c>
      <c r="H3" t="s">
        <v>274</v>
      </c>
      <c r="I3" t="s">
        <v>275</v>
      </c>
      <c r="J3" t="s">
        <v>276</v>
      </c>
      <c r="K3" t="s">
        <v>277</v>
      </c>
      <c r="L3" t="s">
        <v>278</v>
      </c>
    </row>
    <row r="4" spans="1:12" x14ac:dyDescent="0.3">
      <c r="A4" t="s">
        <v>24</v>
      </c>
      <c r="B4" t="s">
        <v>279</v>
      </c>
      <c r="C4" t="s">
        <v>280</v>
      </c>
      <c r="D4">
        <v>34</v>
      </c>
      <c r="E4" t="s">
        <v>281</v>
      </c>
      <c r="F4" t="s">
        <v>282</v>
      </c>
      <c r="G4" t="s">
        <v>283</v>
      </c>
      <c r="H4" t="s">
        <v>284</v>
      </c>
      <c r="I4" t="s">
        <v>285</v>
      </c>
      <c r="J4" t="s">
        <v>286</v>
      </c>
      <c r="K4" t="s">
        <v>287</v>
      </c>
      <c r="L4" t="s">
        <v>288</v>
      </c>
    </row>
    <row r="5" spans="1:12" x14ac:dyDescent="0.3">
      <c r="A5" t="s">
        <v>29</v>
      </c>
      <c r="B5" t="s">
        <v>289</v>
      </c>
      <c r="C5" t="s">
        <v>290</v>
      </c>
      <c r="D5">
        <v>105</v>
      </c>
      <c r="E5" t="s">
        <v>291</v>
      </c>
      <c r="F5" t="s">
        <v>292</v>
      </c>
      <c r="G5" t="s">
        <v>293</v>
      </c>
      <c r="H5" t="s">
        <v>294</v>
      </c>
      <c r="I5" t="s">
        <v>295</v>
      </c>
      <c r="J5" t="s">
        <v>296</v>
      </c>
      <c r="K5" t="s">
        <v>297</v>
      </c>
      <c r="L5" t="s">
        <v>298</v>
      </c>
    </row>
    <row r="6" spans="1:12" x14ac:dyDescent="0.3">
      <c r="A6" t="s">
        <v>34</v>
      </c>
      <c r="B6" t="s">
        <v>299</v>
      </c>
      <c r="C6" t="s">
        <v>300</v>
      </c>
      <c r="D6">
        <v>59</v>
      </c>
      <c r="E6" t="s">
        <v>301</v>
      </c>
      <c r="F6" t="s">
        <v>302</v>
      </c>
      <c r="G6" t="s">
        <v>303</v>
      </c>
      <c r="H6" t="s">
        <v>304</v>
      </c>
      <c r="I6" t="s">
        <v>305</v>
      </c>
      <c r="J6" t="s">
        <v>306</v>
      </c>
      <c r="K6" t="s">
        <v>307</v>
      </c>
      <c r="L6" t="s">
        <v>308</v>
      </c>
    </row>
    <row r="7" spans="1:12" x14ac:dyDescent="0.3">
      <c r="A7" t="s">
        <v>39</v>
      </c>
      <c r="B7" t="s">
        <v>309</v>
      </c>
      <c r="C7" t="s">
        <v>310</v>
      </c>
      <c r="D7">
        <v>51</v>
      </c>
      <c r="E7" t="s">
        <v>311</v>
      </c>
      <c r="F7" t="s">
        <v>312</v>
      </c>
      <c r="G7" t="s">
        <v>313</v>
      </c>
      <c r="H7" t="s">
        <v>314</v>
      </c>
      <c r="I7" t="s">
        <v>315</v>
      </c>
      <c r="J7" t="s">
        <v>316</v>
      </c>
      <c r="K7" t="s">
        <v>317</v>
      </c>
      <c r="L7" t="s">
        <v>318</v>
      </c>
    </row>
    <row r="8" spans="1:12" x14ac:dyDescent="0.3">
      <c r="A8" t="s">
        <v>41</v>
      </c>
      <c r="B8" t="s">
        <v>269</v>
      </c>
      <c r="C8" t="s">
        <v>319</v>
      </c>
      <c r="D8">
        <v>60</v>
      </c>
      <c r="E8" t="s">
        <v>320</v>
      </c>
      <c r="F8" t="s">
        <v>321</v>
      </c>
      <c r="G8" t="s">
        <v>322</v>
      </c>
      <c r="H8" t="s">
        <v>323</v>
      </c>
      <c r="I8" t="s">
        <v>324</v>
      </c>
      <c r="J8" t="s">
        <v>325</v>
      </c>
      <c r="K8" t="s">
        <v>326</v>
      </c>
      <c r="L8" t="s">
        <v>327</v>
      </c>
    </row>
    <row r="9" spans="1:12" x14ac:dyDescent="0.3">
      <c r="A9" t="s">
        <v>44</v>
      </c>
      <c r="B9" t="s">
        <v>328</v>
      </c>
      <c r="C9" t="s">
        <v>329</v>
      </c>
      <c r="D9">
        <v>99</v>
      </c>
      <c r="E9" t="s">
        <v>330</v>
      </c>
      <c r="F9" t="s">
        <v>331</v>
      </c>
      <c r="G9" t="s">
        <v>332</v>
      </c>
      <c r="H9" t="s">
        <v>333</v>
      </c>
      <c r="I9" t="s">
        <v>324</v>
      </c>
      <c r="J9" t="s">
        <v>334</v>
      </c>
      <c r="K9" t="s">
        <v>335</v>
      </c>
      <c r="L9" t="s">
        <v>336</v>
      </c>
    </row>
    <row r="10" spans="1:12" x14ac:dyDescent="0.3">
      <c r="A10" t="s">
        <v>46</v>
      </c>
      <c r="B10" t="s">
        <v>337</v>
      </c>
      <c r="C10" t="s">
        <v>338</v>
      </c>
      <c r="D10">
        <v>22</v>
      </c>
      <c r="E10" t="s">
        <v>339</v>
      </c>
      <c r="F10" t="s">
        <v>340</v>
      </c>
      <c r="G10" t="s">
        <v>341</v>
      </c>
      <c r="H10" t="s">
        <v>342</v>
      </c>
      <c r="I10" t="s">
        <v>343</v>
      </c>
      <c r="J10" t="s">
        <v>344</v>
      </c>
      <c r="K10" t="s">
        <v>345</v>
      </c>
      <c r="L10" t="s">
        <v>346</v>
      </c>
    </row>
    <row r="11" spans="1:12" x14ac:dyDescent="0.3">
      <c r="A11" t="s">
        <v>50</v>
      </c>
      <c r="B11" t="s">
        <v>347</v>
      </c>
      <c r="C11" t="s">
        <v>348</v>
      </c>
      <c r="D11">
        <v>45</v>
      </c>
      <c r="E11" t="s">
        <v>349</v>
      </c>
      <c r="F11" t="s">
        <v>350</v>
      </c>
      <c r="G11" t="s">
        <v>351</v>
      </c>
      <c r="H11" t="s">
        <v>352</v>
      </c>
      <c r="I11" t="s">
        <v>353</v>
      </c>
      <c r="J11" t="s">
        <v>323</v>
      </c>
      <c r="K11" t="s">
        <v>354</v>
      </c>
      <c r="L11" t="s">
        <v>355</v>
      </c>
    </row>
    <row r="12" spans="1:12" x14ac:dyDescent="0.3">
      <c r="A12" t="s">
        <v>54</v>
      </c>
      <c r="B12" t="s">
        <v>356</v>
      </c>
      <c r="C12" t="s">
        <v>357</v>
      </c>
      <c r="D12">
        <v>22</v>
      </c>
      <c r="E12" t="s">
        <v>358</v>
      </c>
      <c r="F12" t="s">
        <v>359</v>
      </c>
      <c r="G12" t="s">
        <v>360</v>
      </c>
      <c r="H12" t="s">
        <v>361</v>
      </c>
      <c r="I12" t="s">
        <v>362</v>
      </c>
      <c r="J12" t="s">
        <v>363</v>
      </c>
      <c r="K12" t="s">
        <v>364</v>
      </c>
      <c r="L12" t="s">
        <v>365</v>
      </c>
    </row>
    <row r="13" spans="1:12" x14ac:dyDescent="0.3">
      <c r="A13" t="s">
        <v>57</v>
      </c>
      <c r="B13" t="s">
        <v>366</v>
      </c>
      <c r="C13" t="s">
        <v>367</v>
      </c>
      <c r="D13">
        <v>92</v>
      </c>
      <c r="E13" t="s">
        <v>368</v>
      </c>
      <c r="F13" t="s">
        <v>369</v>
      </c>
      <c r="G13" t="s">
        <v>370</v>
      </c>
      <c r="H13" t="s">
        <v>371</v>
      </c>
      <c r="I13" t="s">
        <v>372</v>
      </c>
      <c r="J13" t="s">
        <v>373</v>
      </c>
      <c r="K13" t="s">
        <v>307</v>
      </c>
      <c r="L13" t="s">
        <v>374</v>
      </c>
    </row>
    <row r="14" spans="1:12" x14ac:dyDescent="0.3">
      <c r="A14" t="s">
        <v>59</v>
      </c>
      <c r="B14" t="s">
        <v>375</v>
      </c>
      <c r="C14" t="s">
        <v>376</v>
      </c>
      <c r="D14">
        <v>107</v>
      </c>
      <c r="E14" t="s">
        <v>377</v>
      </c>
      <c r="F14" t="s">
        <v>378</v>
      </c>
      <c r="G14" t="s">
        <v>379</v>
      </c>
      <c r="H14" t="s">
        <v>342</v>
      </c>
      <c r="I14" t="s">
        <v>380</v>
      </c>
      <c r="J14" t="s">
        <v>381</v>
      </c>
      <c r="K14" t="s">
        <v>382</v>
      </c>
      <c r="L14" t="s">
        <v>383</v>
      </c>
    </row>
    <row r="15" spans="1:12" x14ac:dyDescent="0.3">
      <c r="A15" t="s">
        <v>61</v>
      </c>
      <c r="B15" t="s">
        <v>337</v>
      </c>
      <c r="C15" t="s">
        <v>384</v>
      </c>
      <c r="D15">
        <v>107</v>
      </c>
      <c r="E15" t="s">
        <v>385</v>
      </c>
      <c r="F15" t="s">
        <v>386</v>
      </c>
      <c r="G15" t="s">
        <v>387</v>
      </c>
      <c r="H15" t="s">
        <v>388</v>
      </c>
      <c r="I15" t="s">
        <v>389</v>
      </c>
      <c r="J15" t="s">
        <v>390</v>
      </c>
      <c r="K15" t="s">
        <v>391</v>
      </c>
      <c r="L15" t="s">
        <v>392</v>
      </c>
    </row>
    <row r="16" spans="1:12" x14ac:dyDescent="0.3">
      <c r="A16" t="s">
        <v>62</v>
      </c>
      <c r="B16" t="s">
        <v>393</v>
      </c>
      <c r="C16" t="s">
        <v>394</v>
      </c>
      <c r="D16">
        <v>112</v>
      </c>
      <c r="E16" t="s">
        <v>395</v>
      </c>
      <c r="F16" t="s">
        <v>396</v>
      </c>
      <c r="G16" t="s">
        <v>397</v>
      </c>
      <c r="H16" t="s">
        <v>398</v>
      </c>
      <c r="I16" t="s">
        <v>399</v>
      </c>
      <c r="J16" t="s">
        <v>400</v>
      </c>
      <c r="K16" t="s">
        <v>382</v>
      </c>
      <c r="L16" t="s">
        <v>401</v>
      </c>
    </row>
    <row r="17" spans="1:12" x14ac:dyDescent="0.3">
      <c r="A17" t="s">
        <v>64</v>
      </c>
      <c r="B17" t="s">
        <v>402</v>
      </c>
      <c r="C17" t="s">
        <v>329</v>
      </c>
      <c r="D17">
        <v>37</v>
      </c>
      <c r="E17" t="s">
        <v>403</v>
      </c>
      <c r="F17" t="s">
        <v>404</v>
      </c>
      <c r="G17" t="s">
        <v>405</v>
      </c>
      <c r="H17" t="s">
        <v>406</v>
      </c>
      <c r="I17" t="s">
        <v>407</v>
      </c>
      <c r="J17" t="s">
        <v>408</v>
      </c>
      <c r="K17" t="s">
        <v>409</v>
      </c>
      <c r="L17" t="s">
        <v>410</v>
      </c>
    </row>
    <row r="18" spans="1:12" x14ac:dyDescent="0.3">
      <c r="A18" t="s">
        <v>67</v>
      </c>
      <c r="B18" t="s">
        <v>411</v>
      </c>
      <c r="C18" t="s">
        <v>310</v>
      </c>
      <c r="D18">
        <v>90</v>
      </c>
      <c r="E18" t="s">
        <v>412</v>
      </c>
      <c r="F18" t="s">
        <v>413</v>
      </c>
      <c r="G18" t="s">
        <v>414</v>
      </c>
      <c r="H18" t="s">
        <v>415</v>
      </c>
      <c r="I18" t="s">
        <v>416</v>
      </c>
      <c r="J18" t="s">
        <v>417</v>
      </c>
      <c r="K18" t="s">
        <v>418</v>
      </c>
      <c r="L18" t="s">
        <v>419</v>
      </c>
    </row>
    <row r="19" spans="1:12" x14ac:dyDescent="0.3">
      <c r="A19" t="s">
        <v>70</v>
      </c>
      <c r="B19" t="s">
        <v>393</v>
      </c>
      <c r="C19" t="s">
        <v>420</v>
      </c>
      <c r="D19">
        <v>120</v>
      </c>
      <c r="E19" t="s">
        <v>421</v>
      </c>
      <c r="F19" t="s">
        <v>422</v>
      </c>
      <c r="G19" t="s">
        <v>423</v>
      </c>
      <c r="H19" t="s">
        <v>276</v>
      </c>
      <c r="I19" t="s">
        <v>424</v>
      </c>
      <c r="J19" t="s">
        <v>425</v>
      </c>
      <c r="K19" t="s">
        <v>426</v>
      </c>
      <c r="L19" t="s">
        <v>427</v>
      </c>
    </row>
    <row r="20" spans="1:12" x14ac:dyDescent="0.3">
      <c r="A20" t="s">
        <v>71</v>
      </c>
      <c r="B20" t="s">
        <v>428</v>
      </c>
      <c r="C20" t="s">
        <v>429</v>
      </c>
      <c r="D20">
        <v>24</v>
      </c>
      <c r="E20" t="s">
        <v>430</v>
      </c>
      <c r="F20" t="s">
        <v>431</v>
      </c>
      <c r="G20" t="s">
        <v>432</v>
      </c>
      <c r="H20" t="s">
        <v>433</v>
      </c>
      <c r="I20" t="s">
        <v>434</v>
      </c>
      <c r="J20" t="s">
        <v>435</v>
      </c>
      <c r="K20" t="s">
        <v>436</v>
      </c>
      <c r="L20" t="s">
        <v>437</v>
      </c>
    </row>
    <row r="21" spans="1:12" x14ac:dyDescent="0.3">
      <c r="A21" t="s">
        <v>74</v>
      </c>
      <c r="B21" t="s">
        <v>438</v>
      </c>
      <c r="C21" t="s">
        <v>439</v>
      </c>
      <c r="D21">
        <v>82</v>
      </c>
      <c r="E21" t="s">
        <v>271</v>
      </c>
      <c r="F21" t="s">
        <v>440</v>
      </c>
      <c r="G21" t="s">
        <v>441</v>
      </c>
      <c r="H21" t="s">
        <v>442</v>
      </c>
      <c r="I21" t="s">
        <v>443</v>
      </c>
      <c r="J21" t="s">
        <v>444</v>
      </c>
      <c r="K21" t="s">
        <v>445</v>
      </c>
      <c r="L21" t="s">
        <v>446</v>
      </c>
    </row>
    <row r="22" spans="1:12" x14ac:dyDescent="0.3">
      <c r="A22" t="s">
        <v>76</v>
      </c>
      <c r="B22" t="s">
        <v>447</v>
      </c>
      <c r="C22" t="s">
        <v>448</v>
      </c>
      <c r="D22">
        <v>74</v>
      </c>
      <c r="E22" t="s">
        <v>449</v>
      </c>
      <c r="F22" t="s">
        <v>450</v>
      </c>
      <c r="G22" t="s">
        <v>451</v>
      </c>
      <c r="H22" t="s">
        <v>452</v>
      </c>
      <c r="I22" t="s">
        <v>453</v>
      </c>
      <c r="J22" t="s">
        <v>454</v>
      </c>
      <c r="K22" t="s">
        <v>455</v>
      </c>
      <c r="L22" t="s">
        <v>456</v>
      </c>
    </row>
    <row r="23" spans="1:12" x14ac:dyDescent="0.3">
      <c r="A23" t="s">
        <v>79</v>
      </c>
      <c r="B23" t="s">
        <v>457</v>
      </c>
      <c r="C23" t="s">
        <v>458</v>
      </c>
      <c r="D23">
        <v>76</v>
      </c>
      <c r="E23" t="s">
        <v>459</v>
      </c>
      <c r="F23" t="s">
        <v>460</v>
      </c>
      <c r="G23" t="s">
        <v>461</v>
      </c>
      <c r="H23" t="s">
        <v>462</v>
      </c>
      <c r="I23" t="s">
        <v>463</v>
      </c>
      <c r="J23" t="s">
        <v>464</v>
      </c>
      <c r="K23" t="s">
        <v>462</v>
      </c>
      <c r="L23" t="s">
        <v>465</v>
      </c>
    </row>
    <row r="24" spans="1:12" x14ac:dyDescent="0.3">
      <c r="A24" t="s">
        <v>82</v>
      </c>
      <c r="B24" t="s">
        <v>466</v>
      </c>
      <c r="C24" t="s">
        <v>467</v>
      </c>
      <c r="D24">
        <v>109</v>
      </c>
      <c r="E24" t="s">
        <v>468</v>
      </c>
      <c r="F24" t="s">
        <v>469</v>
      </c>
      <c r="G24" t="s">
        <v>470</v>
      </c>
      <c r="H24" t="s">
        <v>287</v>
      </c>
      <c r="I24" t="s">
        <v>471</v>
      </c>
      <c r="J24" t="s">
        <v>472</v>
      </c>
      <c r="K24" t="s">
        <v>473</v>
      </c>
      <c r="L24" t="s">
        <v>474</v>
      </c>
    </row>
    <row r="25" spans="1:12" x14ac:dyDescent="0.3">
      <c r="A25" t="s">
        <v>85</v>
      </c>
      <c r="B25" t="s">
        <v>475</v>
      </c>
      <c r="C25" t="s">
        <v>476</v>
      </c>
      <c r="D25">
        <v>102</v>
      </c>
      <c r="E25" t="s">
        <v>477</v>
      </c>
      <c r="F25" t="s">
        <v>478</v>
      </c>
      <c r="G25" t="s">
        <v>479</v>
      </c>
      <c r="H25" t="s">
        <v>480</v>
      </c>
      <c r="I25" t="s">
        <v>481</v>
      </c>
      <c r="J25" t="s">
        <v>342</v>
      </c>
      <c r="K25" t="s">
        <v>482</v>
      </c>
      <c r="L25" t="s">
        <v>483</v>
      </c>
    </row>
    <row r="26" spans="1:12" x14ac:dyDescent="0.3">
      <c r="A26" t="s">
        <v>87</v>
      </c>
      <c r="B26" t="s">
        <v>289</v>
      </c>
      <c r="C26" t="s">
        <v>484</v>
      </c>
      <c r="D26">
        <v>81</v>
      </c>
      <c r="E26" t="s">
        <v>485</v>
      </c>
      <c r="F26" t="s">
        <v>486</v>
      </c>
      <c r="G26" t="s">
        <v>487</v>
      </c>
      <c r="H26" t="s">
        <v>488</v>
      </c>
      <c r="I26" t="s">
        <v>489</v>
      </c>
      <c r="J26" t="s">
        <v>490</v>
      </c>
      <c r="K26" t="s">
        <v>491</v>
      </c>
      <c r="L26" t="s">
        <v>492</v>
      </c>
    </row>
    <row r="27" spans="1:12" x14ac:dyDescent="0.3">
      <c r="A27" t="s">
        <v>89</v>
      </c>
      <c r="B27" t="s">
        <v>493</v>
      </c>
      <c r="C27" t="s">
        <v>494</v>
      </c>
      <c r="D27">
        <v>31</v>
      </c>
      <c r="E27" t="s">
        <v>495</v>
      </c>
      <c r="F27" t="s">
        <v>496</v>
      </c>
      <c r="G27" t="s">
        <v>497</v>
      </c>
      <c r="H27" t="s">
        <v>498</v>
      </c>
      <c r="I27" t="s">
        <v>499</v>
      </c>
      <c r="J27" t="s">
        <v>500</v>
      </c>
      <c r="K27" t="s">
        <v>501</v>
      </c>
      <c r="L27" t="s">
        <v>502</v>
      </c>
    </row>
    <row r="28" spans="1:12" x14ac:dyDescent="0.3">
      <c r="A28" t="s">
        <v>91</v>
      </c>
      <c r="B28" t="s">
        <v>503</v>
      </c>
      <c r="C28" t="s">
        <v>504</v>
      </c>
      <c r="D28">
        <v>28</v>
      </c>
      <c r="E28" t="s">
        <v>505</v>
      </c>
      <c r="F28" t="s">
        <v>506</v>
      </c>
      <c r="G28" t="s">
        <v>507</v>
      </c>
      <c r="H28" t="s">
        <v>508</v>
      </c>
      <c r="I28" t="s">
        <v>509</v>
      </c>
      <c r="J28" t="s">
        <v>480</v>
      </c>
      <c r="K28" t="s">
        <v>510</v>
      </c>
      <c r="L28" t="s">
        <v>511</v>
      </c>
    </row>
    <row r="29" spans="1:12" x14ac:dyDescent="0.3">
      <c r="A29" t="s">
        <v>92</v>
      </c>
      <c r="B29" t="s">
        <v>512</v>
      </c>
      <c r="C29" t="s">
        <v>513</v>
      </c>
      <c r="D29">
        <v>55</v>
      </c>
      <c r="E29" t="s">
        <v>514</v>
      </c>
      <c r="F29" t="s">
        <v>515</v>
      </c>
      <c r="G29" t="s">
        <v>516</v>
      </c>
      <c r="H29" t="s">
        <v>517</v>
      </c>
      <c r="I29" t="s">
        <v>518</v>
      </c>
      <c r="J29" t="s">
        <v>519</v>
      </c>
      <c r="K29" t="s">
        <v>382</v>
      </c>
      <c r="L29" t="s">
        <v>520</v>
      </c>
    </row>
    <row r="30" spans="1:12" x14ac:dyDescent="0.3">
      <c r="A30" t="s">
        <v>94</v>
      </c>
      <c r="B30" t="s">
        <v>521</v>
      </c>
      <c r="C30" t="s">
        <v>522</v>
      </c>
      <c r="D30">
        <v>25</v>
      </c>
      <c r="E30" t="s">
        <v>523</v>
      </c>
      <c r="F30" t="s">
        <v>524</v>
      </c>
      <c r="G30" t="s">
        <v>525</v>
      </c>
      <c r="H30" t="s">
        <v>526</v>
      </c>
      <c r="I30" t="s">
        <v>527</v>
      </c>
      <c r="J30" t="s">
        <v>528</v>
      </c>
      <c r="K30" t="s">
        <v>529</v>
      </c>
      <c r="L30" t="s">
        <v>530</v>
      </c>
    </row>
    <row r="31" spans="1:12" x14ac:dyDescent="0.3">
      <c r="A31" t="s">
        <v>97</v>
      </c>
      <c r="B31" t="s">
        <v>531</v>
      </c>
      <c r="C31" t="s">
        <v>532</v>
      </c>
      <c r="D31">
        <v>119</v>
      </c>
      <c r="E31" t="s">
        <v>533</v>
      </c>
      <c r="F31" t="s">
        <v>534</v>
      </c>
      <c r="G31" t="s">
        <v>535</v>
      </c>
      <c r="H31" t="s">
        <v>536</v>
      </c>
      <c r="I31" t="s">
        <v>537</v>
      </c>
      <c r="J31" t="s">
        <v>538</v>
      </c>
      <c r="K31" t="s">
        <v>472</v>
      </c>
      <c r="L31" t="s">
        <v>539</v>
      </c>
    </row>
    <row r="32" spans="1:12" x14ac:dyDescent="0.3">
      <c r="A32" t="s">
        <v>99</v>
      </c>
      <c r="B32" t="s">
        <v>540</v>
      </c>
      <c r="C32" t="s">
        <v>541</v>
      </c>
      <c r="D32">
        <v>40</v>
      </c>
      <c r="E32" t="s">
        <v>542</v>
      </c>
      <c r="F32" t="s">
        <v>543</v>
      </c>
      <c r="G32" t="s">
        <v>544</v>
      </c>
      <c r="H32" t="s">
        <v>545</v>
      </c>
      <c r="I32" t="s">
        <v>546</v>
      </c>
      <c r="J32" t="s">
        <v>547</v>
      </c>
      <c r="K32" t="s">
        <v>548</v>
      </c>
      <c r="L32" t="s">
        <v>499</v>
      </c>
    </row>
    <row r="33" spans="1:12" x14ac:dyDescent="0.3">
      <c r="A33" t="s">
        <v>100</v>
      </c>
      <c r="B33" t="s">
        <v>549</v>
      </c>
      <c r="C33" t="s">
        <v>550</v>
      </c>
      <c r="D33">
        <v>36</v>
      </c>
      <c r="E33" t="s">
        <v>551</v>
      </c>
      <c r="F33" t="s">
        <v>552</v>
      </c>
      <c r="G33" t="s">
        <v>553</v>
      </c>
      <c r="H33" t="s">
        <v>554</v>
      </c>
      <c r="I33" t="s">
        <v>555</v>
      </c>
      <c r="J33" t="s">
        <v>556</v>
      </c>
      <c r="K33" t="s">
        <v>557</v>
      </c>
      <c r="L33" t="s">
        <v>558</v>
      </c>
    </row>
    <row r="34" spans="1:12" x14ac:dyDescent="0.3">
      <c r="A34" t="s">
        <v>101</v>
      </c>
      <c r="B34" t="s">
        <v>559</v>
      </c>
      <c r="C34" t="s">
        <v>550</v>
      </c>
      <c r="D34">
        <v>71</v>
      </c>
      <c r="E34" t="s">
        <v>560</v>
      </c>
      <c r="F34" t="s">
        <v>561</v>
      </c>
      <c r="G34" t="s">
        <v>562</v>
      </c>
      <c r="H34" t="s">
        <v>563</v>
      </c>
      <c r="I34" t="s">
        <v>564</v>
      </c>
      <c r="J34" t="s">
        <v>565</v>
      </c>
      <c r="K34" t="s">
        <v>566</v>
      </c>
      <c r="L34" t="s">
        <v>567</v>
      </c>
    </row>
    <row r="35" spans="1:12" x14ac:dyDescent="0.3">
      <c r="A35" t="s">
        <v>103</v>
      </c>
      <c r="B35" t="s">
        <v>568</v>
      </c>
      <c r="C35" t="s">
        <v>569</v>
      </c>
      <c r="D35">
        <v>81</v>
      </c>
      <c r="E35" t="s">
        <v>570</v>
      </c>
      <c r="F35" t="s">
        <v>571</v>
      </c>
      <c r="G35" t="s">
        <v>572</v>
      </c>
      <c r="H35" t="s">
        <v>482</v>
      </c>
      <c r="I35" t="s">
        <v>573</v>
      </c>
      <c r="J35" t="s">
        <v>491</v>
      </c>
      <c r="K35" t="s">
        <v>501</v>
      </c>
      <c r="L35" t="s">
        <v>574</v>
      </c>
    </row>
    <row r="36" spans="1:12" x14ac:dyDescent="0.3">
      <c r="A36" t="s">
        <v>105</v>
      </c>
      <c r="B36" t="s">
        <v>575</v>
      </c>
      <c r="C36" t="s">
        <v>576</v>
      </c>
      <c r="D36">
        <v>107</v>
      </c>
      <c r="E36" t="s">
        <v>577</v>
      </c>
      <c r="F36" t="s">
        <v>578</v>
      </c>
      <c r="G36" t="s">
        <v>358</v>
      </c>
      <c r="H36" t="s">
        <v>579</v>
      </c>
      <c r="I36" t="s">
        <v>580</v>
      </c>
      <c r="J36" t="s">
        <v>581</v>
      </c>
      <c r="K36" t="s">
        <v>306</v>
      </c>
      <c r="L36" t="s">
        <v>582</v>
      </c>
    </row>
    <row r="37" spans="1:12" x14ac:dyDescent="0.3">
      <c r="A37" t="s">
        <v>107</v>
      </c>
      <c r="B37" t="s">
        <v>447</v>
      </c>
      <c r="C37" t="s">
        <v>420</v>
      </c>
      <c r="D37">
        <v>62</v>
      </c>
      <c r="E37" t="s">
        <v>423</v>
      </c>
      <c r="F37" t="s">
        <v>583</v>
      </c>
      <c r="G37" t="s">
        <v>584</v>
      </c>
      <c r="H37" t="s">
        <v>585</v>
      </c>
      <c r="I37" t="s">
        <v>586</v>
      </c>
      <c r="J37" t="s">
        <v>587</v>
      </c>
      <c r="K37" t="s">
        <v>588</v>
      </c>
      <c r="L37" t="s">
        <v>589</v>
      </c>
    </row>
    <row r="38" spans="1:12" x14ac:dyDescent="0.3">
      <c r="A38" t="s">
        <v>108</v>
      </c>
      <c r="B38" t="s">
        <v>590</v>
      </c>
      <c r="C38" t="s">
        <v>591</v>
      </c>
      <c r="D38">
        <v>60</v>
      </c>
      <c r="E38" t="s">
        <v>592</v>
      </c>
      <c r="F38" t="s">
        <v>593</v>
      </c>
      <c r="G38" t="s">
        <v>594</v>
      </c>
      <c r="H38" t="s">
        <v>595</v>
      </c>
      <c r="I38" t="s">
        <v>596</v>
      </c>
      <c r="J38" t="s">
        <v>597</v>
      </c>
      <c r="K38" t="s">
        <v>598</v>
      </c>
      <c r="L38" t="s">
        <v>599</v>
      </c>
    </row>
    <row r="39" spans="1:12" x14ac:dyDescent="0.3">
      <c r="A39" t="s">
        <v>110</v>
      </c>
      <c r="B39" t="s">
        <v>600</v>
      </c>
      <c r="C39" t="s">
        <v>601</v>
      </c>
      <c r="D39">
        <v>58</v>
      </c>
      <c r="E39" t="s">
        <v>602</v>
      </c>
      <c r="F39" t="s">
        <v>603</v>
      </c>
      <c r="G39" t="s">
        <v>604</v>
      </c>
      <c r="H39" t="s">
        <v>605</v>
      </c>
      <c r="I39" t="s">
        <v>606</v>
      </c>
      <c r="J39" t="s">
        <v>607</v>
      </c>
      <c r="K39" t="s">
        <v>608</v>
      </c>
      <c r="L39" t="s">
        <v>609</v>
      </c>
    </row>
    <row r="40" spans="1:12" x14ac:dyDescent="0.3">
      <c r="A40" t="s">
        <v>111</v>
      </c>
      <c r="B40" t="s">
        <v>610</v>
      </c>
      <c r="C40" t="s">
        <v>611</v>
      </c>
      <c r="D40">
        <v>86</v>
      </c>
      <c r="E40" t="s">
        <v>612</v>
      </c>
      <c r="F40" t="s">
        <v>613</v>
      </c>
      <c r="G40" t="s">
        <v>614</v>
      </c>
      <c r="H40" t="s">
        <v>615</v>
      </c>
      <c r="I40" t="s">
        <v>616</v>
      </c>
      <c r="J40" t="s">
        <v>472</v>
      </c>
      <c r="K40" t="s">
        <v>617</v>
      </c>
      <c r="L40" t="s">
        <v>618</v>
      </c>
    </row>
    <row r="41" spans="1:12" x14ac:dyDescent="0.3">
      <c r="A41" t="s">
        <v>112</v>
      </c>
      <c r="B41" t="s">
        <v>600</v>
      </c>
      <c r="C41" t="s">
        <v>619</v>
      </c>
      <c r="D41">
        <v>24</v>
      </c>
      <c r="E41" t="s">
        <v>620</v>
      </c>
      <c r="F41" t="s">
        <v>621</v>
      </c>
      <c r="G41" t="s">
        <v>622</v>
      </c>
      <c r="H41" t="s">
        <v>623</v>
      </c>
      <c r="I41" t="s">
        <v>624</v>
      </c>
      <c r="J41" t="s">
        <v>317</v>
      </c>
      <c r="K41" t="s">
        <v>500</v>
      </c>
      <c r="L41" t="s">
        <v>625</v>
      </c>
    </row>
    <row r="42" spans="1:12" x14ac:dyDescent="0.3">
      <c r="A42" t="s">
        <v>114</v>
      </c>
      <c r="B42" t="s">
        <v>447</v>
      </c>
      <c r="C42" t="s">
        <v>300</v>
      </c>
      <c r="D42">
        <v>85</v>
      </c>
      <c r="E42" t="s">
        <v>626</v>
      </c>
      <c r="F42" t="s">
        <v>627</v>
      </c>
      <c r="G42" t="s">
        <v>628</v>
      </c>
      <c r="H42" t="s">
        <v>307</v>
      </c>
      <c r="I42" t="s">
        <v>629</v>
      </c>
      <c r="J42" t="s">
        <v>630</v>
      </c>
      <c r="K42" t="s">
        <v>631</v>
      </c>
      <c r="L42" t="s">
        <v>632</v>
      </c>
    </row>
    <row r="43" spans="1:12" x14ac:dyDescent="0.3">
      <c r="A43" t="s">
        <v>115</v>
      </c>
      <c r="B43" t="s">
        <v>633</v>
      </c>
      <c r="C43" t="s">
        <v>270</v>
      </c>
      <c r="D43">
        <v>112</v>
      </c>
      <c r="E43" t="s">
        <v>634</v>
      </c>
      <c r="F43" t="s">
        <v>635</v>
      </c>
      <c r="G43" t="s">
        <v>636</v>
      </c>
      <c r="H43" t="s">
        <v>637</v>
      </c>
      <c r="I43" t="s">
        <v>638</v>
      </c>
      <c r="J43" t="s">
        <v>639</v>
      </c>
      <c r="K43" t="s">
        <v>436</v>
      </c>
      <c r="L43" t="s">
        <v>640</v>
      </c>
    </row>
    <row r="44" spans="1:12" x14ac:dyDescent="0.3">
      <c r="A44" t="s">
        <v>117</v>
      </c>
      <c r="B44" t="s">
        <v>641</v>
      </c>
      <c r="C44" t="s">
        <v>642</v>
      </c>
      <c r="D44">
        <v>68</v>
      </c>
      <c r="E44" t="s">
        <v>643</v>
      </c>
      <c r="F44" t="s">
        <v>644</v>
      </c>
      <c r="G44" t="s">
        <v>645</v>
      </c>
      <c r="H44" t="s">
        <v>517</v>
      </c>
      <c r="I44" t="s">
        <v>646</v>
      </c>
      <c r="J44" t="s">
        <v>647</v>
      </c>
      <c r="K44" t="s">
        <v>648</v>
      </c>
      <c r="L44" t="s">
        <v>649</v>
      </c>
    </row>
    <row r="45" spans="1:12" x14ac:dyDescent="0.3">
      <c r="A45" t="s">
        <v>118</v>
      </c>
      <c r="B45" t="s">
        <v>650</v>
      </c>
      <c r="C45" t="s">
        <v>651</v>
      </c>
      <c r="D45">
        <v>63</v>
      </c>
      <c r="E45" t="s">
        <v>652</v>
      </c>
      <c r="F45" t="s">
        <v>653</v>
      </c>
      <c r="G45" t="s">
        <v>654</v>
      </c>
      <c r="H45" t="s">
        <v>655</v>
      </c>
      <c r="I45" t="s">
        <v>656</v>
      </c>
      <c r="J45" t="s">
        <v>657</v>
      </c>
      <c r="K45" t="s">
        <v>658</v>
      </c>
      <c r="L45" t="s">
        <v>659</v>
      </c>
    </row>
    <row r="46" spans="1:12" x14ac:dyDescent="0.3">
      <c r="A46" t="s">
        <v>120</v>
      </c>
      <c r="B46" t="s">
        <v>660</v>
      </c>
      <c r="C46" t="s">
        <v>429</v>
      </c>
      <c r="D46">
        <v>85</v>
      </c>
      <c r="E46" t="s">
        <v>542</v>
      </c>
      <c r="F46" t="s">
        <v>661</v>
      </c>
      <c r="G46" t="s">
        <v>662</v>
      </c>
      <c r="H46" t="s">
        <v>663</v>
      </c>
      <c r="I46" t="s">
        <v>664</v>
      </c>
      <c r="J46" t="s">
        <v>665</v>
      </c>
      <c r="K46" t="s">
        <v>655</v>
      </c>
      <c r="L46" t="s">
        <v>666</v>
      </c>
    </row>
    <row r="47" spans="1:12" x14ac:dyDescent="0.3">
      <c r="A47" t="s">
        <v>122</v>
      </c>
      <c r="B47" t="s">
        <v>667</v>
      </c>
      <c r="C47" t="s">
        <v>668</v>
      </c>
      <c r="D47">
        <v>45</v>
      </c>
      <c r="E47" t="s">
        <v>669</v>
      </c>
      <c r="F47" t="s">
        <v>670</v>
      </c>
      <c r="G47" t="s">
        <v>671</v>
      </c>
      <c r="H47" t="s">
        <v>672</v>
      </c>
      <c r="I47" t="s">
        <v>673</v>
      </c>
      <c r="J47" t="s">
        <v>674</v>
      </c>
      <c r="K47" t="s">
        <v>675</v>
      </c>
      <c r="L47" t="s">
        <v>676</v>
      </c>
    </row>
    <row r="48" spans="1:12" x14ac:dyDescent="0.3">
      <c r="A48" t="s">
        <v>125</v>
      </c>
      <c r="B48" t="s">
        <v>677</v>
      </c>
      <c r="C48" t="s">
        <v>678</v>
      </c>
      <c r="D48">
        <v>105</v>
      </c>
      <c r="E48" t="s">
        <v>679</v>
      </c>
      <c r="F48" t="s">
        <v>680</v>
      </c>
      <c r="G48" t="s">
        <v>681</v>
      </c>
      <c r="H48" t="s">
        <v>682</v>
      </c>
      <c r="I48" t="s">
        <v>683</v>
      </c>
      <c r="J48" t="s">
        <v>684</v>
      </c>
      <c r="K48" t="s">
        <v>556</v>
      </c>
      <c r="L48" t="s">
        <v>685</v>
      </c>
    </row>
    <row r="49" spans="1:12" x14ac:dyDescent="0.3">
      <c r="A49" t="s">
        <v>127</v>
      </c>
      <c r="B49" t="s">
        <v>686</v>
      </c>
      <c r="C49" t="s">
        <v>376</v>
      </c>
      <c r="D49">
        <v>46</v>
      </c>
      <c r="E49" t="s">
        <v>687</v>
      </c>
      <c r="F49" t="s">
        <v>688</v>
      </c>
      <c r="G49" t="s">
        <v>689</v>
      </c>
      <c r="H49" t="s">
        <v>690</v>
      </c>
      <c r="I49" t="s">
        <v>691</v>
      </c>
      <c r="J49" t="s">
        <v>692</v>
      </c>
      <c r="K49" t="s">
        <v>693</v>
      </c>
      <c r="L49" t="s">
        <v>694</v>
      </c>
    </row>
    <row r="50" spans="1:12" x14ac:dyDescent="0.3">
      <c r="A50" t="s">
        <v>128</v>
      </c>
      <c r="B50" t="s">
        <v>457</v>
      </c>
      <c r="C50" t="s">
        <v>695</v>
      </c>
      <c r="D50">
        <v>118</v>
      </c>
      <c r="E50" t="s">
        <v>696</v>
      </c>
      <c r="F50" t="s">
        <v>697</v>
      </c>
      <c r="G50" t="s">
        <v>698</v>
      </c>
      <c r="H50" t="s">
        <v>699</v>
      </c>
      <c r="I50" t="s">
        <v>700</v>
      </c>
      <c r="J50" t="s">
        <v>701</v>
      </c>
      <c r="K50" t="s">
        <v>702</v>
      </c>
      <c r="L50" t="s">
        <v>640</v>
      </c>
    </row>
    <row r="51" spans="1:12" x14ac:dyDescent="0.3">
      <c r="A51" t="s">
        <v>130</v>
      </c>
      <c r="B51" t="s">
        <v>703</v>
      </c>
      <c r="C51" t="s">
        <v>569</v>
      </c>
      <c r="D51">
        <v>112</v>
      </c>
      <c r="E51" t="s">
        <v>704</v>
      </c>
      <c r="F51" t="s">
        <v>705</v>
      </c>
      <c r="G51" t="s">
        <v>706</v>
      </c>
      <c r="H51" t="s">
        <v>707</v>
      </c>
      <c r="I51" t="s">
        <v>708</v>
      </c>
      <c r="J51" t="s">
        <v>317</v>
      </c>
      <c r="K51" t="s">
        <v>709</v>
      </c>
      <c r="L51" t="s">
        <v>710</v>
      </c>
    </row>
    <row r="52" spans="1:12" x14ac:dyDescent="0.3">
      <c r="A52" t="s">
        <v>132</v>
      </c>
      <c r="B52" t="s">
        <v>660</v>
      </c>
      <c r="C52" t="s">
        <v>711</v>
      </c>
      <c r="D52">
        <v>98</v>
      </c>
      <c r="E52" t="s">
        <v>712</v>
      </c>
      <c r="F52" t="s">
        <v>713</v>
      </c>
      <c r="G52" t="s">
        <v>714</v>
      </c>
      <c r="H52" t="s">
        <v>715</v>
      </c>
      <c r="I52" t="s">
        <v>716</v>
      </c>
      <c r="J52" t="s">
        <v>717</v>
      </c>
      <c r="K52" t="s">
        <v>718</v>
      </c>
      <c r="L52" t="s">
        <v>719</v>
      </c>
    </row>
    <row r="53" spans="1:12" x14ac:dyDescent="0.3">
      <c r="A53" t="s">
        <v>134</v>
      </c>
      <c r="B53" t="s">
        <v>720</v>
      </c>
      <c r="C53" t="s">
        <v>721</v>
      </c>
      <c r="D53">
        <v>59</v>
      </c>
      <c r="E53" t="s">
        <v>722</v>
      </c>
      <c r="F53" t="s">
        <v>723</v>
      </c>
      <c r="G53" t="s">
        <v>724</v>
      </c>
      <c r="H53" t="s">
        <v>725</v>
      </c>
      <c r="I53" t="s">
        <v>726</v>
      </c>
      <c r="J53" t="s">
        <v>727</v>
      </c>
      <c r="K53" t="s">
        <v>728</v>
      </c>
      <c r="L53" t="s">
        <v>729</v>
      </c>
    </row>
    <row r="54" spans="1:12" x14ac:dyDescent="0.3">
      <c r="A54" t="s">
        <v>135</v>
      </c>
      <c r="B54" t="s">
        <v>730</v>
      </c>
      <c r="C54" t="s">
        <v>731</v>
      </c>
      <c r="D54">
        <v>111</v>
      </c>
      <c r="E54" t="s">
        <v>395</v>
      </c>
      <c r="F54" t="s">
        <v>732</v>
      </c>
      <c r="G54" t="s">
        <v>733</v>
      </c>
      <c r="H54" t="s">
        <v>734</v>
      </c>
      <c r="I54" t="s">
        <v>735</v>
      </c>
      <c r="J54" t="s">
        <v>736</v>
      </c>
      <c r="K54" t="s">
        <v>597</v>
      </c>
      <c r="L54" t="s">
        <v>737</v>
      </c>
    </row>
    <row r="55" spans="1:12" x14ac:dyDescent="0.3">
      <c r="A55" t="s">
        <v>137</v>
      </c>
      <c r="B55" t="s">
        <v>738</v>
      </c>
      <c r="C55" t="s">
        <v>260</v>
      </c>
      <c r="D55">
        <v>70</v>
      </c>
      <c r="E55" t="s">
        <v>739</v>
      </c>
      <c r="F55" t="s">
        <v>740</v>
      </c>
      <c r="G55" t="s">
        <v>273</v>
      </c>
      <c r="H55" t="s">
        <v>587</v>
      </c>
      <c r="I55" t="s">
        <v>741</v>
      </c>
      <c r="J55" t="s">
        <v>742</v>
      </c>
      <c r="K55" t="s">
        <v>565</v>
      </c>
      <c r="L55" t="s">
        <v>743</v>
      </c>
    </row>
    <row r="56" spans="1:12" x14ac:dyDescent="0.3">
      <c r="A56" t="s">
        <v>138</v>
      </c>
      <c r="B56" t="s">
        <v>744</v>
      </c>
      <c r="C56" t="s">
        <v>280</v>
      </c>
      <c r="D56">
        <v>82</v>
      </c>
      <c r="E56" t="s">
        <v>745</v>
      </c>
      <c r="F56" t="s">
        <v>746</v>
      </c>
      <c r="G56" t="s">
        <v>747</v>
      </c>
      <c r="H56" t="s">
        <v>748</v>
      </c>
      <c r="I56" t="s">
        <v>749</v>
      </c>
      <c r="J56" t="s">
        <v>748</v>
      </c>
      <c r="K56" t="s">
        <v>750</v>
      </c>
      <c r="L56" t="s">
        <v>751</v>
      </c>
    </row>
    <row r="57" spans="1:12" x14ac:dyDescent="0.3">
      <c r="A57" t="s">
        <v>139</v>
      </c>
      <c r="B57" t="s">
        <v>568</v>
      </c>
      <c r="C57" t="s">
        <v>752</v>
      </c>
      <c r="D57">
        <v>65</v>
      </c>
      <c r="E57" t="s">
        <v>753</v>
      </c>
      <c r="F57" t="s">
        <v>754</v>
      </c>
      <c r="G57" t="s">
        <v>755</v>
      </c>
      <c r="H57" t="s">
        <v>756</v>
      </c>
      <c r="I57" t="s">
        <v>757</v>
      </c>
      <c r="J57" t="s">
        <v>758</v>
      </c>
      <c r="K57" t="s">
        <v>655</v>
      </c>
      <c r="L57" t="s">
        <v>759</v>
      </c>
    </row>
    <row r="58" spans="1:12" x14ac:dyDescent="0.3">
      <c r="A58" t="s">
        <v>140</v>
      </c>
      <c r="B58" t="s">
        <v>760</v>
      </c>
      <c r="C58" t="s">
        <v>761</v>
      </c>
      <c r="D58">
        <v>25</v>
      </c>
      <c r="E58" t="s">
        <v>762</v>
      </c>
      <c r="F58" t="s">
        <v>763</v>
      </c>
      <c r="G58" t="s">
        <v>764</v>
      </c>
      <c r="H58" t="s">
        <v>765</v>
      </c>
      <c r="I58" t="s">
        <v>766</v>
      </c>
      <c r="J58" t="s">
        <v>767</v>
      </c>
      <c r="K58" t="s">
        <v>768</v>
      </c>
      <c r="L58" t="s">
        <v>769</v>
      </c>
    </row>
    <row r="59" spans="1:12" x14ac:dyDescent="0.3">
      <c r="A59" t="s">
        <v>141</v>
      </c>
      <c r="B59" t="s">
        <v>328</v>
      </c>
      <c r="C59" t="s">
        <v>770</v>
      </c>
      <c r="D59">
        <v>65</v>
      </c>
      <c r="E59" t="s">
        <v>771</v>
      </c>
      <c r="F59" t="s">
        <v>772</v>
      </c>
      <c r="G59" t="s">
        <v>773</v>
      </c>
      <c r="H59" t="s">
        <v>774</v>
      </c>
      <c r="I59" t="s">
        <v>775</v>
      </c>
      <c r="J59" t="s">
        <v>776</v>
      </c>
      <c r="K59" t="s">
        <v>777</v>
      </c>
      <c r="L59" t="s">
        <v>778</v>
      </c>
    </row>
    <row r="60" spans="1:12" x14ac:dyDescent="0.3">
      <c r="A60" t="s">
        <v>142</v>
      </c>
      <c r="B60" t="s">
        <v>779</v>
      </c>
      <c r="C60" t="s">
        <v>780</v>
      </c>
      <c r="D60">
        <v>77</v>
      </c>
      <c r="E60" t="s">
        <v>781</v>
      </c>
      <c r="F60" t="s">
        <v>782</v>
      </c>
      <c r="G60" t="s">
        <v>783</v>
      </c>
      <c r="H60" t="s">
        <v>784</v>
      </c>
      <c r="I60" t="s">
        <v>785</v>
      </c>
      <c r="J60" t="s">
        <v>786</v>
      </c>
      <c r="K60" t="s">
        <v>433</v>
      </c>
      <c r="L60" t="s">
        <v>787</v>
      </c>
    </row>
    <row r="61" spans="1:12" x14ac:dyDescent="0.3">
      <c r="A61" t="s">
        <v>143</v>
      </c>
      <c r="B61" t="s">
        <v>600</v>
      </c>
      <c r="C61" t="s">
        <v>788</v>
      </c>
      <c r="D61">
        <v>112</v>
      </c>
      <c r="E61" t="s">
        <v>789</v>
      </c>
      <c r="F61" t="s">
        <v>790</v>
      </c>
      <c r="G61" t="s">
        <v>791</v>
      </c>
      <c r="H61" t="s">
        <v>631</v>
      </c>
      <c r="I61" t="s">
        <v>792</v>
      </c>
      <c r="J61" t="s">
        <v>793</v>
      </c>
      <c r="K61" t="s">
        <v>794</v>
      </c>
      <c r="L61" t="s">
        <v>795</v>
      </c>
    </row>
    <row r="62" spans="1:12" x14ac:dyDescent="0.3">
      <c r="A62" t="s">
        <v>144</v>
      </c>
      <c r="B62" t="s">
        <v>796</v>
      </c>
      <c r="C62" t="s">
        <v>721</v>
      </c>
      <c r="D62">
        <v>20</v>
      </c>
      <c r="E62" t="s">
        <v>797</v>
      </c>
      <c r="F62" t="s">
        <v>798</v>
      </c>
      <c r="G62" t="s">
        <v>397</v>
      </c>
      <c r="H62" t="s">
        <v>799</v>
      </c>
      <c r="I62" t="s">
        <v>800</v>
      </c>
      <c r="J62" t="s">
        <v>801</v>
      </c>
      <c r="K62" t="s">
        <v>802</v>
      </c>
      <c r="L62" t="s">
        <v>803</v>
      </c>
    </row>
    <row r="63" spans="1:12" x14ac:dyDescent="0.3">
      <c r="A63" t="s">
        <v>145</v>
      </c>
      <c r="B63" t="s">
        <v>804</v>
      </c>
      <c r="C63" t="s">
        <v>805</v>
      </c>
      <c r="D63">
        <v>61</v>
      </c>
      <c r="E63" t="s">
        <v>806</v>
      </c>
      <c r="F63" t="s">
        <v>578</v>
      </c>
      <c r="G63" t="s">
        <v>807</v>
      </c>
      <c r="H63" t="s">
        <v>808</v>
      </c>
      <c r="I63" t="s">
        <v>809</v>
      </c>
      <c r="J63" t="s">
        <v>810</v>
      </c>
      <c r="K63" t="s">
        <v>811</v>
      </c>
      <c r="L63" t="s">
        <v>812</v>
      </c>
    </row>
    <row r="64" spans="1:12" x14ac:dyDescent="0.3">
      <c r="A64" t="s">
        <v>146</v>
      </c>
      <c r="B64" t="s">
        <v>813</v>
      </c>
      <c r="C64" t="s">
        <v>814</v>
      </c>
      <c r="D64">
        <v>86</v>
      </c>
      <c r="E64" t="s">
        <v>815</v>
      </c>
      <c r="F64" t="s">
        <v>816</v>
      </c>
      <c r="G64" t="s">
        <v>817</v>
      </c>
      <c r="H64" t="s">
        <v>818</v>
      </c>
      <c r="I64" t="s">
        <v>819</v>
      </c>
      <c r="J64" t="s">
        <v>820</v>
      </c>
      <c r="K64" t="s">
        <v>821</v>
      </c>
      <c r="L64" t="s">
        <v>822</v>
      </c>
    </row>
    <row r="65" spans="1:12" x14ac:dyDescent="0.3">
      <c r="A65" t="s">
        <v>147</v>
      </c>
      <c r="B65" t="s">
        <v>356</v>
      </c>
      <c r="C65" t="s">
        <v>823</v>
      </c>
      <c r="D65">
        <v>83</v>
      </c>
      <c r="E65" t="s">
        <v>824</v>
      </c>
      <c r="F65" t="s">
        <v>825</v>
      </c>
      <c r="G65" t="s">
        <v>826</v>
      </c>
      <c r="H65" t="s">
        <v>827</v>
      </c>
      <c r="I65" t="s">
        <v>828</v>
      </c>
      <c r="J65" t="s">
        <v>829</v>
      </c>
      <c r="K65" t="s">
        <v>830</v>
      </c>
      <c r="L65" t="s">
        <v>831</v>
      </c>
    </row>
    <row r="66" spans="1:12" x14ac:dyDescent="0.3">
      <c r="A66" t="s">
        <v>148</v>
      </c>
      <c r="B66" t="s">
        <v>475</v>
      </c>
      <c r="C66" t="s">
        <v>367</v>
      </c>
      <c r="D66">
        <v>65</v>
      </c>
      <c r="E66" t="s">
        <v>832</v>
      </c>
      <c r="F66" t="s">
        <v>833</v>
      </c>
      <c r="G66" t="s">
        <v>834</v>
      </c>
      <c r="H66" t="s">
        <v>835</v>
      </c>
      <c r="I66" t="s">
        <v>836</v>
      </c>
      <c r="J66" t="s">
        <v>837</v>
      </c>
      <c r="K66" t="s">
        <v>838</v>
      </c>
      <c r="L66" t="s">
        <v>839</v>
      </c>
    </row>
    <row r="67" spans="1:12" x14ac:dyDescent="0.3">
      <c r="A67" t="s">
        <v>150</v>
      </c>
      <c r="B67" t="s">
        <v>568</v>
      </c>
      <c r="C67" t="s">
        <v>420</v>
      </c>
      <c r="D67">
        <v>30</v>
      </c>
      <c r="E67" t="s">
        <v>840</v>
      </c>
      <c r="F67" t="s">
        <v>841</v>
      </c>
      <c r="G67" t="s">
        <v>842</v>
      </c>
      <c r="H67" t="s">
        <v>843</v>
      </c>
      <c r="I67" t="s">
        <v>844</v>
      </c>
      <c r="J67" t="s">
        <v>845</v>
      </c>
      <c r="K67" t="s">
        <v>597</v>
      </c>
      <c r="L67" t="s">
        <v>846</v>
      </c>
    </row>
    <row r="68" spans="1:12" x14ac:dyDescent="0.3">
      <c r="A68" t="s">
        <v>152</v>
      </c>
      <c r="B68" t="s">
        <v>847</v>
      </c>
      <c r="C68" t="s">
        <v>848</v>
      </c>
      <c r="D68">
        <v>53</v>
      </c>
      <c r="E68" t="s">
        <v>849</v>
      </c>
      <c r="F68" t="s">
        <v>515</v>
      </c>
      <c r="G68" t="s">
        <v>850</v>
      </c>
      <c r="H68" t="s">
        <v>851</v>
      </c>
      <c r="I68" t="s">
        <v>852</v>
      </c>
      <c r="J68" t="s">
        <v>853</v>
      </c>
      <c r="K68" t="s">
        <v>854</v>
      </c>
      <c r="L68" t="s">
        <v>855</v>
      </c>
    </row>
    <row r="69" spans="1:12" x14ac:dyDescent="0.3">
      <c r="A69" t="s">
        <v>153</v>
      </c>
      <c r="B69" t="s">
        <v>856</v>
      </c>
      <c r="C69" t="s">
        <v>814</v>
      </c>
      <c r="D69">
        <v>72</v>
      </c>
      <c r="E69" t="s">
        <v>857</v>
      </c>
      <c r="F69" t="s">
        <v>858</v>
      </c>
      <c r="G69" t="s">
        <v>859</v>
      </c>
      <c r="H69" t="s">
        <v>508</v>
      </c>
      <c r="I69" t="s">
        <v>860</v>
      </c>
      <c r="J69" t="s">
        <v>861</v>
      </c>
      <c r="K69" t="s">
        <v>862</v>
      </c>
      <c r="L69" t="s">
        <v>863</v>
      </c>
    </row>
    <row r="70" spans="1:12" x14ac:dyDescent="0.3">
      <c r="A70" t="s">
        <v>154</v>
      </c>
      <c r="B70" t="s">
        <v>864</v>
      </c>
      <c r="C70" t="s">
        <v>260</v>
      </c>
      <c r="D70">
        <v>66</v>
      </c>
      <c r="E70" t="s">
        <v>865</v>
      </c>
      <c r="F70" t="s">
        <v>866</v>
      </c>
      <c r="G70" t="s">
        <v>714</v>
      </c>
      <c r="H70" t="s">
        <v>867</v>
      </c>
      <c r="I70" t="s">
        <v>868</v>
      </c>
      <c r="J70" t="s">
        <v>297</v>
      </c>
      <c r="K70" t="s">
        <v>472</v>
      </c>
      <c r="L70" t="s">
        <v>869</v>
      </c>
    </row>
    <row r="71" spans="1:12" x14ac:dyDescent="0.3">
      <c r="A71" t="s">
        <v>155</v>
      </c>
      <c r="B71" t="s">
        <v>870</v>
      </c>
      <c r="C71" t="s">
        <v>871</v>
      </c>
      <c r="D71">
        <v>49</v>
      </c>
      <c r="E71" t="s">
        <v>872</v>
      </c>
      <c r="F71" t="s">
        <v>873</v>
      </c>
      <c r="G71" t="s">
        <v>874</v>
      </c>
      <c r="H71" t="s">
        <v>875</v>
      </c>
      <c r="I71" t="s">
        <v>876</v>
      </c>
      <c r="J71" t="s">
        <v>877</v>
      </c>
      <c r="K71" t="s">
        <v>862</v>
      </c>
      <c r="L71" t="s">
        <v>878</v>
      </c>
    </row>
    <row r="72" spans="1:12" x14ac:dyDescent="0.3">
      <c r="A72" t="s">
        <v>157</v>
      </c>
      <c r="B72" t="s">
        <v>590</v>
      </c>
      <c r="C72" t="s">
        <v>879</v>
      </c>
      <c r="D72">
        <v>40</v>
      </c>
      <c r="E72" t="s">
        <v>669</v>
      </c>
      <c r="F72" t="s">
        <v>880</v>
      </c>
      <c r="G72" t="s">
        <v>881</v>
      </c>
      <c r="H72" t="s">
        <v>588</v>
      </c>
      <c r="I72" t="s">
        <v>882</v>
      </c>
      <c r="J72" t="s">
        <v>883</v>
      </c>
      <c r="K72" t="s">
        <v>884</v>
      </c>
      <c r="L72" t="s">
        <v>885</v>
      </c>
    </row>
    <row r="73" spans="1:12" x14ac:dyDescent="0.3">
      <c r="A73" t="s">
        <v>158</v>
      </c>
      <c r="B73" t="s">
        <v>549</v>
      </c>
      <c r="C73" t="s">
        <v>591</v>
      </c>
      <c r="D73">
        <v>80</v>
      </c>
      <c r="E73" t="s">
        <v>886</v>
      </c>
      <c r="F73" t="s">
        <v>866</v>
      </c>
      <c r="G73" t="s">
        <v>887</v>
      </c>
      <c r="H73" t="s">
        <v>888</v>
      </c>
      <c r="I73" t="s">
        <v>889</v>
      </c>
      <c r="J73" t="s">
        <v>890</v>
      </c>
      <c r="K73" t="s">
        <v>371</v>
      </c>
      <c r="L73" t="s">
        <v>891</v>
      </c>
    </row>
    <row r="74" spans="1:12" x14ac:dyDescent="0.3">
      <c r="A74" t="s">
        <v>160</v>
      </c>
      <c r="B74" t="s">
        <v>744</v>
      </c>
      <c r="C74" t="s">
        <v>892</v>
      </c>
      <c r="D74">
        <v>89</v>
      </c>
      <c r="E74" t="s">
        <v>893</v>
      </c>
      <c r="F74" t="s">
        <v>894</v>
      </c>
      <c r="G74" t="s">
        <v>895</v>
      </c>
      <c r="H74" t="s">
        <v>896</v>
      </c>
      <c r="I74" t="s">
        <v>897</v>
      </c>
      <c r="J74" t="s">
        <v>898</v>
      </c>
      <c r="K74" t="s">
        <v>899</v>
      </c>
      <c r="L74" t="s">
        <v>900</v>
      </c>
    </row>
    <row r="75" spans="1:12" x14ac:dyDescent="0.3">
      <c r="A75" t="s">
        <v>161</v>
      </c>
      <c r="B75" t="s">
        <v>901</v>
      </c>
      <c r="C75" t="s">
        <v>902</v>
      </c>
      <c r="D75">
        <v>53</v>
      </c>
      <c r="E75" t="s">
        <v>903</v>
      </c>
      <c r="F75" t="s">
        <v>904</v>
      </c>
      <c r="G75" t="s">
        <v>905</v>
      </c>
      <c r="H75" t="s">
        <v>906</v>
      </c>
      <c r="I75" t="s">
        <v>907</v>
      </c>
      <c r="J75" t="s">
        <v>908</v>
      </c>
      <c r="K75" t="s">
        <v>909</v>
      </c>
      <c r="L75" t="s">
        <v>910</v>
      </c>
    </row>
    <row r="76" spans="1:12" x14ac:dyDescent="0.3">
      <c r="A76" t="s">
        <v>162</v>
      </c>
      <c r="B76" t="s">
        <v>911</v>
      </c>
      <c r="C76" t="s">
        <v>912</v>
      </c>
      <c r="D76">
        <v>58</v>
      </c>
      <c r="E76" t="s">
        <v>913</v>
      </c>
      <c r="F76" t="s">
        <v>914</v>
      </c>
      <c r="G76" t="s">
        <v>915</v>
      </c>
      <c r="H76" t="s">
        <v>916</v>
      </c>
      <c r="I76" t="s">
        <v>917</v>
      </c>
      <c r="J76" t="s">
        <v>808</v>
      </c>
      <c r="K76" t="s">
        <v>918</v>
      </c>
      <c r="L76" t="s">
        <v>919</v>
      </c>
    </row>
    <row r="77" spans="1:12" x14ac:dyDescent="0.3">
      <c r="A77" t="s">
        <v>163</v>
      </c>
      <c r="B77" t="s">
        <v>920</v>
      </c>
      <c r="C77" t="s">
        <v>921</v>
      </c>
      <c r="D77">
        <v>52</v>
      </c>
      <c r="E77" t="s">
        <v>922</v>
      </c>
      <c r="F77" t="s">
        <v>923</v>
      </c>
      <c r="G77" t="s">
        <v>924</v>
      </c>
      <c r="H77" t="s">
        <v>829</v>
      </c>
      <c r="I77" t="s">
        <v>925</v>
      </c>
      <c r="J77" t="s">
        <v>926</v>
      </c>
      <c r="K77" t="s">
        <v>464</v>
      </c>
      <c r="L77" t="s">
        <v>927</v>
      </c>
    </row>
    <row r="78" spans="1:12" x14ac:dyDescent="0.3">
      <c r="A78" t="s">
        <v>164</v>
      </c>
      <c r="B78" t="s">
        <v>856</v>
      </c>
      <c r="C78" t="s">
        <v>522</v>
      </c>
      <c r="D78">
        <v>118</v>
      </c>
      <c r="E78" t="s">
        <v>928</v>
      </c>
      <c r="F78" t="s">
        <v>929</v>
      </c>
      <c r="G78" t="s">
        <v>930</v>
      </c>
      <c r="H78" t="s">
        <v>931</v>
      </c>
      <c r="I78" t="s">
        <v>932</v>
      </c>
      <c r="J78" t="s">
        <v>717</v>
      </c>
      <c r="K78" t="s">
        <v>933</v>
      </c>
      <c r="L78" t="s">
        <v>934</v>
      </c>
    </row>
    <row r="79" spans="1:12" x14ac:dyDescent="0.3">
      <c r="A79" t="s">
        <v>165</v>
      </c>
      <c r="B79" t="s">
        <v>935</v>
      </c>
      <c r="C79" t="s">
        <v>936</v>
      </c>
      <c r="D79">
        <v>44</v>
      </c>
      <c r="E79" t="s">
        <v>937</v>
      </c>
      <c r="F79" t="s">
        <v>938</v>
      </c>
      <c r="G79" t="s">
        <v>939</v>
      </c>
      <c r="H79" t="s">
        <v>940</v>
      </c>
      <c r="I79" t="s">
        <v>941</v>
      </c>
      <c r="J79" t="s">
        <v>388</v>
      </c>
      <c r="K79" t="s">
        <v>942</v>
      </c>
      <c r="L79" t="s">
        <v>943</v>
      </c>
    </row>
    <row r="80" spans="1:12" x14ac:dyDescent="0.3">
      <c r="A80" t="s">
        <v>166</v>
      </c>
      <c r="B80" t="s">
        <v>289</v>
      </c>
      <c r="C80" t="s">
        <v>892</v>
      </c>
      <c r="D80">
        <v>97</v>
      </c>
      <c r="E80" t="s">
        <v>944</v>
      </c>
      <c r="F80" t="s">
        <v>945</v>
      </c>
      <c r="G80" t="s">
        <v>946</v>
      </c>
      <c r="H80" t="s">
        <v>947</v>
      </c>
      <c r="I80" t="s">
        <v>948</v>
      </c>
      <c r="J80" t="s">
        <v>758</v>
      </c>
      <c r="K80" t="s">
        <v>480</v>
      </c>
      <c r="L80" t="s">
        <v>949</v>
      </c>
    </row>
    <row r="81" spans="1:12" x14ac:dyDescent="0.3">
      <c r="A81" t="s">
        <v>167</v>
      </c>
      <c r="B81" t="s">
        <v>950</v>
      </c>
      <c r="C81" t="s">
        <v>591</v>
      </c>
      <c r="D81">
        <v>80</v>
      </c>
      <c r="E81" t="s">
        <v>951</v>
      </c>
      <c r="F81" t="s">
        <v>952</v>
      </c>
      <c r="G81" t="s">
        <v>953</v>
      </c>
      <c r="H81" t="s">
        <v>954</v>
      </c>
      <c r="I81" t="s">
        <v>955</v>
      </c>
      <c r="J81" t="s">
        <v>956</v>
      </c>
      <c r="K81" t="s">
        <v>957</v>
      </c>
      <c r="L81" t="s">
        <v>907</v>
      </c>
    </row>
    <row r="82" spans="1:12" x14ac:dyDescent="0.3">
      <c r="A82" t="s">
        <v>168</v>
      </c>
      <c r="B82" t="s">
        <v>958</v>
      </c>
      <c r="C82" t="s">
        <v>959</v>
      </c>
      <c r="D82">
        <v>29</v>
      </c>
      <c r="E82" t="s">
        <v>960</v>
      </c>
      <c r="F82" t="s">
        <v>961</v>
      </c>
      <c r="G82" t="s">
        <v>962</v>
      </c>
      <c r="H82" t="s">
        <v>963</v>
      </c>
      <c r="I82" t="s">
        <v>964</v>
      </c>
      <c r="J82" t="s">
        <v>965</v>
      </c>
      <c r="K82" t="s">
        <v>966</v>
      </c>
      <c r="L82" t="s">
        <v>967</v>
      </c>
    </row>
    <row r="83" spans="1:12" x14ac:dyDescent="0.3">
      <c r="A83" t="s">
        <v>170</v>
      </c>
      <c r="B83" t="s">
        <v>968</v>
      </c>
      <c r="C83" t="s">
        <v>969</v>
      </c>
      <c r="D83">
        <v>94</v>
      </c>
      <c r="E83" t="s">
        <v>523</v>
      </c>
      <c r="F83" t="s">
        <v>970</v>
      </c>
      <c r="G83" t="s">
        <v>971</v>
      </c>
      <c r="H83" t="s">
        <v>972</v>
      </c>
      <c r="I83" t="s">
        <v>973</v>
      </c>
      <c r="J83" t="s">
        <v>890</v>
      </c>
      <c r="K83" t="s">
        <v>974</v>
      </c>
      <c r="L83" t="s">
        <v>975</v>
      </c>
    </row>
    <row r="84" spans="1:12" x14ac:dyDescent="0.3">
      <c r="A84" t="s">
        <v>171</v>
      </c>
      <c r="B84" t="s">
        <v>976</v>
      </c>
      <c r="C84" t="s">
        <v>721</v>
      </c>
      <c r="D84">
        <v>116</v>
      </c>
      <c r="E84" t="s">
        <v>977</v>
      </c>
      <c r="F84" t="s">
        <v>978</v>
      </c>
      <c r="G84" t="s">
        <v>979</v>
      </c>
      <c r="H84" t="s">
        <v>980</v>
      </c>
      <c r="I84" t="s">
        <v>981</v>
      </c>
      <c r="J84" t="s">
        <v>982</v>
      </c>
      <c r="K84" t="s">
        <v>884</v>
      </c>
      <c r="L84" t="s">
        <v>983</v>
      </c>
    </row>
    <row r="85" spans="1:12" x14ac:dyDescent="0.3">
      <c r="A85" t="s">
        <v>173</v>
      </c>
      <c r="B85" t="s">
        <v>984</v>
      </c>
      <c r="C85" t="s">
        <v>985</v>
      </c>
      <c r="D85">
        <v>59</v>
      </c>
      <c r="E85" t="s">
        <v>986</v>
      </c>
      <c r="F85" t="s">
        <v>987</v>
      </c>
      <c r="G85" t="s">
        <v>988</v>
      </c>
      <c r="H85" t="s">
        <v>811</v>
      </c>
      <c r="I85" t="s">
        <v>673</v>
      </c>
      <c r="J85" t="s">
        <v>989</v>
      </c>
      <c r="K85" t="s">
        <v>277</v>
      </c>
      <c r="L85" t="s">
        <v>990</v>
      </c>
    </row>
    <row r="86" spans="1:12" x14ac:dyDescent="0.3">
      <c r="A86" t="s">
        <v>174</v>
      </c>
      <c r="B86" t="s">
        <v>549</v>
      </c>
      <c r="C86" t="s">
        <v>991</v>
      </c>
      <c r="D86">
        <v>68</v>
      </c>
      <c r="E86" t="s">
        <v>873</v>
      </c>
      <c r="F86" t="s">
        <v>992</v>
      </c>
      <c r="G86" t="s">
        <v>993</v>
      </c>
      <c r="H86" t="s">
        <v>728</v>
      </c>
      <c r="I86" t="s">
        <v>994</v>
      </c>
      <c r="J86" t="s">
        <v>774</v>
      </c>
      <c r="K86" t="s">
        <v>995</v>
      </c>
      <c r="L86" t="s">
        <v>996</v>
      </c>
    </row>
    <row r="87" spans="1:12" x14ac:dyDescent="0.3">
      <c r="A87" t="s">
        <v>175</v>
      </c>
      <c r="B87" t="s">
        <v>997</v>
      </c>
      <c r="C87" t="s">
        <v>458</v>
      </c>
      <c r="D87">
        <v>84</v>
      </c>
      <c r="E87" t="s">
        <v>998</v>
      </c>
      <c r="F87" t="s">
        <v>999</v>
      </c>
      <c r="G87" t="s">
        <v>1000</v>
      </c>
      <c r="H87" t="s">
        <v>472</v>
      </c>
      <c r="I87" t="s">
        <v>1001</v>
      </c>
      <c r="J87" t="s">
        <v>566</v>
      </c>
      <c r="K87" t="s">
        <v>608</v>
      </c>
      <c r="L87" t="s">
        <v>1002</v>
      </c>
    </row>
    <row r="88" spans="1:12" x14ac:dyDescent="0.3">
      <c r="A88" t="s">
        <v>176</v>
      </c>
      <c r="B88" t="s">
        <v>920</v>
      </c>
      <c r="C88" t="s">
        <v>1003</v>
      </c>
      <c r="D88">
        <v>108</v>
      </c>
      <c r="E88" t="s">
        <v>1004</v>
      </c>
      <c r="F88" t="s">
        <v>612</v>
      </c>
      <c r="G88" t="s">
        <v>1005</v>
      </c>
      <c r="H88" t="s">
        <v>1006</v>
      </c>
      <c r="I88" t="s">
        <v>1007</v>
      </c>
      <c r="J88" t="s">
        <v>682</v>
      </c>
      <c r="K88" t="s">
        <v>682</v>
      </c>
      <c r="L88" t="s">
        <v>1008</v>
      </c>
    </row>
    <row r="89" spans="1:12" x14ac:dyDescent="0.3">
      <c r="A89" t="s">
        <v>177</v>
      </c>
      <c r="B89" t="s">
        <v>856</v>
      </c>
      <c r="C89" t="s">
        <v>1009</v>
      </c>
      <c r="D89">
        <v>21</v>
      </c>
      <c r="E89" t="s">
        <v>1010</v>
      </c>
      <c r="F89" t="s">
        <v>1011</v>
      </c>
      <c r="G89" t="s">
        <v>1012</v>
      </c>
      <c r="H89" t="s">
        <v>1013</v>
      </c>
      <c r="I89" t="s">
        <v>1014</v>
      </c>
      <c r="J89" t="s">
        <v>617</v>
      </c>
      <c r="K89" t="s">
        <v>931</v>
      </c>
      <c r="L89" t="s">
        <v>1015</v>
      </c>
    </row>
    <row r="90" spans="1:12" x14ac:dyDescent="0.3">
      <c r="A90" t="s">
        <v>178</v>
      </c>
      <c r="B90" t="s">
        <v>1016</v>
      </c>
      <c r="C90" t="s">
        <v>420</v>
      </c>
      <c r="D90">
        <v>93</v>
      </c>
      <c r="E90" t="s">
        <v>1017</v>
      </c>
      <c r="F90" t="s">
        <v>1018</v>
      </c>
      <c r="G90" t="s">
        <v>1019</v>
      </c>
      <c r="H90" t="s">
        <v>1020</v>
      </c>
      <c r="I90" t="s">
        <v>1021</v>
      </c>
      <c r="J90" t="s">
        <v>1022</v>
      </c>
      <c r="K90" t="s">
        <v>565</v>
      </c>
      <c r="L90" t="s">
        <v>1023</v>
      </c>
    </row>
    <row r="91" spans="1:12" x14ac:dyDescent="0.3">
      <c r="A91" t="s">
        <v>181</v>
      </c>
      <c r="B91" t="s">
        <v>901</v>
      </c>
      <c r="C91" t="s">
        <v>1024</v>
      </c>
      <c r="D91">
        <v>68</v>
      </c>
      <c r="E91" t="s">
        <v>1025</v>
      </c>
      <c r="F91" t="s">
        <v>1026</v>
      </c>
      <c r="G91" t="s">
        <v>1027</v>
      </c>
      <c r="H91" t="s">
        <v>554</v>
      </c>
      <c r="I91" t="s">
        <v>1028</v>
      </c>
      <c r="J91" t="s">
        <v>1029</v>
      </c>
      <c r="K91" t="s">
        <v>1030</v>
      </c>
      <c r="L91" t="s">
        <v>1031</v>
      </c>
    </row>
    <row r="92" spans="1:12" x14ac:dyDescent="0.3">
      <c r="A92" t="s">
        <v>182</v>
      </c>
      <c r="B92" t="s">
        <v>1032</v>
      </c>
      <c r="C92" t="s">
        <v>1033</v>
      </c>
      <c r="D92">
        <v>27</v>
      </c>
      <c r="E92" t="s">
        <v>1034</v>
      </c>
      <c r="F92" t="s">
        <v>1035</v>
      </c>
      <c r="G92" t="s">
        <v>1036</v>
      </c>
      <c r="H92" t="s">
        <v>1037</v>
      </c>
      <c r="I92" t="s">
        <v>1038</v>
      </c>
      <c r="J92" t="s">
        <v>371</v>
      </c>
      <c r="K92" t="s">
        <v>1039</v>
      </c>
      <c r="L92" t="s">
        <v>1040</v>
      </c>
    </row>
    <row r="93" spans="1:12" x14ac:dyDescent="0.3">
      <c r="A93" t="s">
        <v>183</v>
      </c>
      <c r="B93" t="s">
        <v>1041</v>
      </c>
      <c r="C93" t="s">
        <v>1042</v>
      </c>
      <c r="D93">
        <v>90</v>
      </c>
      <c r="E93" t="s">
        <v>1043</v>
      </c>
      <c r="F93" t="s">
        <v>1044</v>
      </c>
      <c r="G93" t="s">
        <v>1045</v>
      </c>
      <c r="H93" t="s">
        <v>326</v>
      </c>
      <c r="I93" t="s">
        <v>1046</v>
      </c>
      <c r="J93" t="s">
        <v>1047</v>
      </c>
      <c r="K93" t="s">
        <v>890</v>
      </c>
      <c r="L93" t="s">
        <v>1048</v>
      </c>
    </row>
    <row r="94" spans="1:12" x14ac:dyDescent="0.3">
      <c r="A94" t="s">
        <v>184</v>
      </c>
      <c r="B94" t="s">
        <v>968</v>
      </c>
      <c r="C94" t="s">
        <v>1049</v>
      </c>
      <c r="D94">
        <v>82</v>
      </c>
      <c r="E94" t="s">
        <v>1050</v>
      </c>
      <c r="F94" t="s">
        <v>679</v>
      </c>
      <c r="G94" t="s">
        <v>1051</v>
      </c>
      <c r="H94" t="s">
        <v>605</v>
      </c>
      <c r="I94" t="s">
        <v>1052</v>
      </c>
      <c r="J94" t="s">
        <v>1053</v>
      </c>
      <c r="K94" t="s">
        <v>1054</v>
      </c>
      <c r="L94" t="s">
        <v>1055</v>
      </c>
    </row>
    <row r="95" spans="1:12" x14ac:dyDescent="0.3">
      <c r="A95" t="s">
        <v>185</v>
      </c>
      <c r="B95" t="s">
        <v>968</v>
      </c>
      <c r="C95" t="s">
        <v>367</v>
      </c>
      <c r="D95">
        <v>39</v>
      </c>
      <c r="E95" t="s">
        <v>1056</v>
      </c>
      <c r="F95" t="s">
        <v>1057</v>
      </c>
      <c r="G95" t="s">
        <v>1058</v>
      </c>
      <c r="H95" t="s">
        <v>1059</v>
      </c>
      <c r="I95" t="s">
        <v>1060</v>
      </c>
      <c r="J95" t="s">
        <v>1061</v>
      </c>
      <c r="K95" t="s">
        <v>899</v>
      </c>
      <c r="L95" t="s">
        <v>1062</v>
      </c>
    </row>
    <row r="96" spans="1:12" x14ac:dyDescent="0.3">
      <c r="A96" t="s">
        <v>186</v>
      </c>
      <c r="B96" t="s">
        <v>1063</v>
      </c>
      <c r="C96" t="s">
        <v>611</v>
      </c>
      <c r="D96">
        <v>76</v>
      </c>
      <c r="E96" t="s">
        <v>1051</v>
      </c>
      <c r="F96" t="s">
        <v>1064</v>
      </c>
      <c r="G96" t="s">
        <v>1065</v>
      </c>
      <c r="H96" t="s">
        <v>1066</v>
      </c>
      <c r="I96" t="s">
        <v>1067</v>
      </c>
      <c r="J96" t="s">
        <v>488</v>
      </c>
      <c r="K96" t="s">
        <v>883</v>
      </c>
      <c r="L96" t="s">
        <v>1068</v>
      </c>
    </row>
    <row r="97" spans="1:12" x14ac:dyDescent="0.3">
      <c r="A97" t="s">
        <v>187</v>
      </c>
      <c r="B97" t="s">
        <v>411</v>
      </c>
      <c r="C97" t="s">
        <v>814</v>
      </c>
      <c r="D97">
        <v>32</v>
      </c>
      <c r="E97" t="s">
        <v>1069</v>
      </c>
      <c r="F97" t="s">
        <v>1070</v>
      </c>
      <c r="G97" t="s">
        <v>1071</v>
      </c>
      <c r="H97" t="s">
        <v>1072</v>
      </c>
      <c r="I97" t="s">
        <v>365</v>
      </c>
      <c r="J97" t="s">
        <v>829</v>
      </c>
      <c r="K97" t="s">
        <v>1073</v>
      </c>
      <c r="L97" t="s">
        <v>1074</v>
      </c>
    </row>
    <row r="98" spans="1:12" x14ac:dyDescent="0.3">
      <c r="A98" t="s">
        <v>188</v>
      </c>
      <c r="B98" t="s">
        <v>1075</v>
      </c>
      <c r="C98" t="s">
        <v>1076</v>
      </c>
      <c r="D98">
        <v>116</v>
      </c>
      <c r="E98" t="s">
        <v>1077</v>
      </c>
      <c r="F98" t="s">
        <v>1078</v>
      </c>
      <c r="G98" t="s">
        <v>1079</v>
      </c>
      <c r="H98" t="s">
        <v>1080</v>
      </c>
      <c r="I98" t="s">
        <v>1081</v>
      </c>
      <c r="J98" t="s">
        <v>264</v>
      </c>
      <c r="K98" t="s">
        <v>1082</v>
      </c>
      <c r="L98" t="s">
        <v>1083</v>
      </c>
    </row>
    <row r="99" spans="1:12" x14ac:dyDescent="0.3">
      <c r="A99" t="s">
        <v>190</v>
      </c>
      <c r="B99" t="s">
        <v>950</v>
      </c>
      <c r="C99" t="s">
        <v>1084</v>
      </c>
      <c r="D99">
        <v>37</v>
      </c>
      <c r="E99" t="s">
        <v>1085</v>
      </c>
      <c r="F99" t="s">
        <v>1086</v>
      </c>
      <c r="G99" t="s">
        <v>1087</v>
      </c>
      <c r="H99" t="s">
        <v>1088</v>
      </c>
      <c r="I99" t="s">
        <v>1089</v>
      </c>
      <c r="J99" t="s">
        <v>510</v>
      </c>
      <c r="K99" t="s">
        <v>488</v>
      </c>
      <c r="L99" t="s">
        <v>1090</v>
      </c>
    </row>
    <row r="100" spans="1:12" x14ac:dyDescent="0.3">
      <c r="A100" t="s">
        <v>191</v>
      </c>
      <c r="B100" t="s">
        <v>1091</v>
      </c>
      <c r="C100" t="s">
        <v>1092</v>
      </c>
      <c r="D100">
        <v>43</v>
      </c>
      <c r="E100" t="s">
        <v>1093</v>
      </c>
      <c r="F100" t="s">
        <v>1094</v>
      </c>
      <c r="G100" t="s">
        <v>1095</v>
      </c>
      <c r="H100" t="s">
        <v>1096</v>
      </c>
      <c r="I100" t="s">
        <v>1097</v>
      </c>
      <c r="J100" t="s">
        <v>1098</v>
      </c>
      <c r="K100" t="s">
        <v>588</v>
      </c>
      <c r="L100" t="s">
        <v>1099</v>
      </c>
    </row>
    <row r="101" spans="1:12" x14ac:dyDescent="0.3">
      <c r="A101" t="s">
        <v>192</v>
      </c>
      <c r="B101" t="s">
        <v>1100</v>
      </c>
      <c r="C101" t="s">
        <v>1049</v>
      </c>
      <c r="D101">
        <v>27</v>
      </c>
      <c r="E101" t="s">
        <v>1101</v>
      </c>
      <c r="F101" t="s">
        <v>1102</v>
      </c>
      <c r="G101" t="s">
        <v>1103</v>
      </c>
      <c r="H101" t="s">
        <v>1104</v>
      </c>
      <c r="I101" t="s">
        <v>1105</v>
      </c>
      <c r="J101" t="s">
        <v>1106</v>
      </c>
      <c r="K101" t="s">
        <v>1030</v>
      </c>
      <c r="L101" t="s">
        <v>1107</v>
      </c>
    </row>
    <row r="102" spans="1:12" x14ac:dyDescent="0.3">
      <c r="A102" t="s">
        <v>193</v>
      </c>
      <c r="B102" t="s">
        <v>366</v>
      </c>
      <c r="C102" t="s">
        <v>1108</v>
      </c>
      <c r="D102">
        <v>78</v>
      </c>
      <c r="E102" t="s">
        <v>570</v>
      </c>
      <c r="F102" t="s">
        <v>1109</v>
      </c>
      <c r="G102" t="s">
        <v>1110</v>
      </c>
      <c r="H102" t="s">
        <v>1111</v>
      </c>
      <c r="I102" t="s">
        <v>1112</v>
      </c>
      <c r="J102" t="s">
        <v>1113</v>
      </c>
      <c r="K102" t="s">
        <v>916</v>
      </c>
      <c r="L102" t="s">
        <v>1114</v>
      </c>
    </row>
    <row r="103" spans="1:12" x14ac:dyDescent="0.3">
      <c r="A103" t="s">
        <v>194</v>
      </c>
      <c r="B103" t="s">
        <v>935</v>
      </c>
      <c r="C103" t="s">
        <v>1115</v>
      </c>
      <c r="D103">
        <v>23</v>
      </c>
      <c r="E103" t="s">
        <v>1116</v>
      </c>
      <c r="F103" t="s">
        <v>1117</v>
      </c>
      <c r="G103" t="s">
        <v>1118</v>
      </c>
      <c r="H103" t="s">
        <v>1119</v>
      </c>
      <c r="I103" t="s">
        <v>1120</v>
      </c>
      <c r="J103" t="s">
        <v>843</v>
      </c>
      <c r="K103" t="s">
        <v>702</v>
      </c>
      <c r="L103" t="s">
        <v>1121</v>
      </c>
    </row>
    <row r="104" spans="1:12" x14ac:dyDescent="0.3">
      <c r="A104" t="s">
        <v>195</v>
      </c>
      <c r="B104" t="s">
        <v>1122</v>
      </c>
      <c r="C104" t="s">
        <v>522</v>
      </c>
      <c r="D104">
        <v>44</v>
      </c>
      <c r="E104" t="s">
        <v>1123</v>
      </c>
      <c r="F104" t="s">
        <v>1124</v>
      </c>
      <c r="G104" t="s">
        <v>1125</v>
      </c>
      <c r="H104" t="s">
        <v>1126</v>
      </c>
      <c r="I104" t="s">
        <v>1127</v>
      </c>
      <c r="J104" t="s">
        <v>630</v>
      </c>
      <c r="K104" t="s">
        <v>1128</v>
      </c>
      <c r="L104" t="s">
        <v>973</v>
      </c>
    </row>
    <row r="105" spans="1:12" x14ac:dyDescent="0.3">
      <c r="A105" t="s">
        <v>196</v>
      </c>
      <c r="B105" t="s">
        <v>935</v>
      </c>
      <c r="C105" t="s">
        <v>1129</v>
      </c>
      <c r="D105">
        <v>79</v>
      </c>
      <c r="E105" t="s">
        <v>1130</v>
      </c>
      <c r="F105" t="s">
        <v>1131</v>
      </c>
      <c r="G105" t="s">
        <v>1132</v>
      </c>
      <c r="H105" t="s">
        <v>1133</v>
      </c>
      <c r="I105" t="s">
        <v>1134</v>
      </c>
      <c r="J105" t="s">
        <v>1135</v>
      </c>
      <c r="K105" t="s">
        <v>1136</v>
      </c>
      <c r="L105" t="s">
        <v>1137</v>
      </c>
    </row>
    <row r="106" spans="1:12" x14ac:dyDescent="0.3">
      <c r="A106" t="s">
        <v>197</v>
      </c>
      <c r="B106" t="s">
        <v>1100</v>
      </c>
      <c r="C106" t="s">
        <v>695</v>
      </c>
      <c r="D106">
        <v>87</v>
      </c>
      <c r="E106" t="s">
        <v>1138</v>
      </c>
      <c r="F106" t="s">
        <v>1139</v>
      </c>
      <c r="G106" t="s">
        <v>1140</v>
      </c>
      <c r="H106" t="s">
        <v>1141</v>
      </c>
      <c r="I106" t="s">
        <v>1142</v>
      </c>
      <c r="J106" t="s">
        <v>647</v>
      </c>
      <c r="K106" t="s">
        <v>1143</v>
      </c>
      <c r="L106" t="s">
        <v>1144</v>
      </c>
    </row>
    <row r="107" spans="1:12" x14ac:dyDescent="0.3">
      <c r="A107" t="s">
        <v>198</v>
      </c>
      <c r="B107" t="s">
        <v>804</v>
      </c>
      <c r="C107" t="s">
        <v>1129</v>
      </c>
      <c r="D107">
        <v>71</v>
      </c>
      <c r="E107" t="s">
        <v>1145</v>
      </c>
      <c r="F107" t="s">
        <v>1146</v>
      </c>
      <c r="G107" t="s">
        <v>1147</v>
      </c>
      <c r="H107" t="s">
        <v>488</v>
      </c>
      <c r="I107" t="s">
        <v>1148</v>
      </c>
      <c r="J107" t="s">
        <v>1149</v>
      </c>
      <c r="K107" t="s">
        <v>325</v>
      </c>
      <c r="L107" t="s">
        <v>1150</v>
      </c>
    </row>
    <row r="108" spans="1:12" x14ac:dyDescent="0.3">
      <c r="A108" t="s">
        <v>199</v>
      </c>
      <c r="B108" t="s">
        <v>813</v>
      </c>
      <c r="C108" t="s">
        <v>448</v>
      </c>
      <c r="D108">
        <v>66</v>
      </c>
      <c r="E108" t="s">
        <v>1151</v>
      </c>
      <c r="F108" t="s">
        <v>1152</v>
      </c>
      <c r="G108" t="s">
        <v>1153</v>
      </c>
      <c r="H108" t="s">
        <v>501</v>
      </c>
      <c r="I108" t="s">
        <v>1154</v>
      </c>
      <c r="J108" t="s">
        <v>1155</v>
      </c>
      <c r="K108" t="s">
        <v>1156</v>
      </c>
      <c r="L108" t="s">
        <v>1157</v>
      </c>
    </row>
    <row r="109" spans="1:12" x14ac:dyDescent="0.3">
      <c r="A109" t="s">
        <v>200</v>
      </c>
      <c r="B109" t="s">
        <v>1041</v>
      </c>
      <c r="C109" t="s">
        <v>300</v>
      </c>
      <c r="D109">
        <v>36</v>
      </c>
      <c r="E109" t="s">
        <v>1158</v>
      </c>
      <c r="F109" t="s">
        <v>1159</v>
      </c>
      <c r="G109" t="s">
        <v>938</v>
      </c>
      <c r="H109" t="s">
        <v>1160</v>
      </c>
      <c r="I109" t="s">
        <v>1161</v>
      </c>
      <c r="J109" t="s">
        <v>1098</v>
      </c>
      <c r="K109" t="s">
        <v>1162</v>
      </c>
      <c r="L109" t="s">
        <v>1163</v>
      </c>
    </row>
    <row r="110" spans="1:12" x14ac:dyDescent="0.3">
      <c r="A110" t="s">
        <v>201</v>
      </c>
      <c r="B110" t="s">
        <v>503</v>
      </c>
      <c r="C110" t="s">
        <v>1115</v>
      </c>
      <c r="D110">
        <v>44</v>
      </c>
      <c r="E110" t="s">
        <v>1164</v>
      </c>
      <c r="F110" t="s">
        <v>1165</v>
      </c>
      <c r="G110" t="s">
        <v>1166</v>
      </c>
      <c r="H110" t="s">
        <v>587</v>
      </c>
      <c r="I110" t="s">
        <v>646</v>
      </c>
      <c r="J110" t="s">
        <v>482</v>
      </c>
      <c r="K110" t="s">
        <v>1135</v>
      </c>
      <c r="L110" t="s">
        <v>1167</v>
      </c>
    </row>
    <row r="111" spans="1:12" x14ac:dyDescent="0.3">
      <c r="A111" t="s">
        <v>202</v>
      </c>
      <c r="B111" t="s">
        <v>1168</v>
      </c>
      <c r="C111" t="s">
        <v>814</v>
      </c>
      <c r="D111">
        <v>71</v>
      </c>
      <c r="E111" t="s">
        <v>377</v>
      </c>
      <c r="F111" t="s">
        <v>1169</v>
      </c>
      <c r="G111" t="s">
        <v>1170</v>
      </c>
      <c r="H111" t="s">
        <v>1171</v>
      </c>
      <c r="I111" t="s">
        <v>1172</v>
      </c>
      <c r="J111" t="s">
        <v>1173</v>
      </c>
      <c r="K111" t="s">
        <v>1174</v>
      </c>
      <c r="L111" t="s">
        <v>1175</v>
      </c>
    </row>
    <row r="112" spans="1:12" x14ac:dyDescent="0.3">
      <c r="A112" t="s">
        <v>203</v>
      </c>
      <c r="B112" t="s">
        <v>1176</v>
      </c>
      <c r="C112" t="s">
        <v>1177</v>
      </c>
      <c r="D112">
        <v>37</v>
      </c>
      <c r="E112" t="s">
        <v>1178</v>
      </c>
      <c r="F112" t="s">
        <v>1179</v>
      </c>
      <c r="G112" t="s">
        <v>1180</v>
      </c>
      <c r="H112" t="s">
        <v>1181</v>
      </c>
      <c r="I112" t="s">
        <v>1182</v>
      </c>
      <c r="J112" t="s">
        <v>266</v>
      </c>
      <c r="K112" t="s">
        <v>454</v>
      </c>
      <c r="L112" t="s">
        <v>1183</v>
      </c>
    </row>
    <row r="113" spans="1:12" x14ac:dyDescent="0.3">
      <c r="A113" t="s">
        <v>204</v>
      </c>
      <c r="B113" t="s">
        <v>1184</v>
      </c>
      <c r="C113" t="s">
        <v>522</v>
      </c>
      <c r="D113">
        <v>88</v>
      </c>
      <c r="E113" t="s">
        <v>1185</v>
      </c>
      <c r="F113" t="s">
        <v>1186</v>
      </c>
      <c r="G113" t="s">
        <v>1187</v>
      </c>
      <c r="H113" t="s">
        <v>1188</v>
      </c>
      <c r="I113" t="s">
        <v>878</v>
      </c>
      <c r="J113" t="s">
        <v>1189</v>
      </c>
      <c r="K113" t="s">
        <v>1190</v>
      </c>
      <c r="L113" t="s">
        <v>1191</v>
      </c>
    </row>
    <row r="114" spans="1:12" x14ac:dyDescent="0.3">
      <c r="A114" t="s">
        <v>205</v>
      </c>
      <c r="B114" t="s">
        <v>531</v>
      </c>
      <c r="C114" t="s">
        <v>338</v>
      </c>
      <c r="D114">
        <v>119</v>
      </c>
      <c r="E114" t="s">
        <v>886</v>
      </c>
      <c r="F114" t="s">
        <v>1192</v>
      </c>
      <c r="G114" t="s">
        <v>1193</v>
      </c>
      <c r="H114" t="s">
        <v>1194</v>
      </c>
      <c r="I114" t="s">
        <v>1195</v>
      </c>
      <c r="J114" t="s">
        <v>294</v>
      </c>
      <c r="K114" t="s">
        <v>777</v>
      </c>
      <c r="L114" t="s">
        <v>1196</v>
      </c>
    </row>
    <row r="115" spans="1:12" x14ac:dyDescent="0.3">
      <c r="A115" t="s">
        <v>207</v>
      </c>
      <c r="B115" t="s">
        <v>575</v>
      </c>
      <c r="C115" t="s">
        <v>1197</v>
      </c>
      <c r="D115">
        <v>67</v>
      </c>
      <c r="E115" t="s">
        <v>1198</v>
      </c>
      <c r="F115" t="s">
        <v>1199</v>
      </c>
      <c r="G115" t="s">
        <v>1200</v>
      </c>
      <c r="H115" t="s">
        <v>1201</v>
      </c>
      <c r="I115" t="s">
        <v>1202</v>
      </c>
      <c r="J115" t="s">
        <v>536</v>
      </c>
      <c r="K115" t="s">
        <v>418</v>
      </c>
      <c r="L115" t="s">
        <v>1203</v>
      </c>
    </row>
    <row r="116" spans="1:12" x14ac:dyDescent="0.3">
      <c r="A116" t="s">
        <v>208</v>
      </c>
      <c r="B116" t="s">
        <v>984</v>
      </c>
      <c r="C116" t="s">
        <v>1204</v>
      </c>
      <c r="D116">
        <v>56</v>
      </c>
      <c r="E116" t="s">
        <v>1205</v>
      </c>
      <c r="F116" t="s">
        <v>1206</v>
      </c>
      <c r="G116" t="s">
        <v>1207</v>
      </c>
      <c r="H116" t="s">
        <v>1208</v>
      </c>
      <c r="I116" t="s">
        <v>1209</v>
      </c>
      <c r="J116" t="s">
        <v>566</v>
      </c>
      <c r="K116" t="s">
        <v>1210</v>
      </c>
      <c r="L116" t="s">
        <v>1211</v>
      </c>
    </row>
    <row r="117" spans="1:12" x14ac:dyDescent="0.3">
      <c r="A117" t="s">
        <v>210</v>
      </c>
      <c r="B117" t="s">
        <v>1032</v>
      </c>
      <c r="C117" t="s">
        <v>1212</v>
      </c>
      <c r="D117">
        <v>94</v>
      </c>
      <c r="E117" t="s">
        <v>1213</v>
      </c>
      <c r="F117" t="s">
        <v>1214</v>
      </c>
      <c r="G117" t="s">
        <v>1215</v>
      </c>
      <c r="H117" t="s">
        <v>1061</v>
      </c>
      <c r="I117" t="s">
        <v>1216</v>
      </c>
      <c r="J117" t="s">
        <v>1217</v>
      </c>
      <c r="K117" t="s">
        <v>1047</v>
      </c>
      <c r="L117" t="s">
        <v>1218</v>
      </c>
    </row>
    <row r="118" spans="1:12" x14ac:dyDescent="0.3">
      <c r="A118" t="s">
        <v>211</v>
      </c>
      <c r="B118" t="s">
        <v>337</v>
      </c>
      <c r="C118" t="s">
        <v>439</v>
      </c>
      <c r="D118">
        <v>53</v>
      </c>
      <c r="E118" t="s">
        <v>1219</v>
      </c>
      <c r="F118" t="s">
        <v>292</v>
      </c>
      <c r="G118" t="s">
        <v>1220</v>
      </c>
      <c r="H118" t="s">
        <v>1221</v>
      </c>
      <c r="I118" t="s">
        <v>1222</v>
      </c>
      <c r="J118" t="s">
        <v>898</v>
      </c>
      <c r="K118" t="s">
        <v>896</v>
      </c>
      <c r="L118" t="s">
        <v>1223</v>
      </c>
    </row>
    <row r="119" spans="1:12" x14ac:dyDescent="0.3">
      <c r="A119" t="s">
        <v>212</v>
      </c>
      <c r="B119" t="s">
        <v>466</v>
      </c>
      <c r="C119" t="s">
        <v>1224</v>
      </c>
      <c r="D119">
        <v>49</v>
      </c>
      <c r="E119" t="s">
        <v>1225</v>
      </c>
      <c r="F119" t="s">
        <v>1226</v>
      </c>
      <c r="G119" t="s">
        <v>283</v>
      </c>
      <c r="H119" t="s">
        <v>547</v>
      </c>
      <c r="I119" t="s">
        <v>1227</v>
      </c>
      <c r="J119" t="s">
        <v>1171</v>
      </c>
      <c r="K119" t="s">
        <v>748</v>
      </c>
      <c r="L119" t="s">
        <v>1228</v>
      </c>
    </row>
    <row r="120" spans="1:12" x14ac:dyDescent="0.3">
      <c r="A120" t="s">
        <v>213</v>
      </c>
      <c r="B120" t="s">
        <v>1032</v>
      </c>
      <c r="C120" t="s">
        <v>1229</v>
      </c>
      <c r="D120">
        <v>23</v>
      </c>
      <c r="E120" t="s">
        <v>1093</v>
      </c>
      <c r="F120" t="s">
        <v>1230</v>
      </c>
      <c r="G120" t="s">
        <v>1231</v>
      </c>
      <c r="H120" t="s">
        <v>1232</v>
      </c>
      <c r="I120" t="s">
        <v>1233</v>
      </c>
      <c r="J120" t="s">
        <v>1234</v>
      </c>
      <c r="K120" t="s">
        <v>1235</v>
      </c>
      <c r="L120" t="s">
        <v>1236</v>
      </c>
    </row>
    <row r="121" spans="1:12" x14ac:dyDescent="0.3">
      <c r="A121" t="s">
        <v>214</v>
      </c>
      <c r="B121" t="s">
        <v>1237</v>
      </c>
      <c r="C121" t="s">
        <v>329</v>
      </c>
      <c r="D121">
        <v>58</v>
      </c>
      <c r="E121" t="s">
        <v>1238</v>
      </c>
      <c r="F121" t="s">
        <v>1239</v>
      </c>
      <c r="G121" t="s">
        <v>1240</v>
      </c>
      <c r="H121" t="s">
        <v>1241</v>
      </c>
      <c r="I121" t="s">
        <v>1242</v>
      </c>
      <c r="J121" t="s">
        <v>1243</v>
      </c>
      <c r="K121" t="s">
        <v>548</v>
      </c>
      <c r="L121" t="s">
        <v>1244</v>
      </c>
    </row>
    <row r="122" spans="1:12" x14ac:dyDescent="0.3">
      <c r="A122" t="s">
        <v>216</v>
      </c>
      <c r="B122" t="s">
        <v>575</v>
      </c>
      <c r="C122" t="s">
        <v>1245</v>
      </c>
      <c r="D122">
        <v>88</v>
      </c>
      <c r="E122" t="s">
        <v>1246</v>
      </c>
      <c r="F122" t="s">
        <v>1247</v>
      </c>
      <c r="G122" t="s">
        <v>1248</v>
      </c>
      <c r="H122" t="s">
        <v>615</v>
      </c>
      <c r="I122" t="s">
        <v>1249</v>
      </c>
      <c r="J122" t="s">
        <v>1250</v>
      </c>
      <c r="K122" t="s">
        <v>1251</v>
      </c>
      <c r="L122" t="s">
        <v>1252</v>
      </c>
    </row>
    <row r="123" spans="1:12" x14ac:dyDescent="0.3">
      <c r="A123" t="s">
        <v>217</v>
      </c>
      <c r="B123" t="s">
        <v>1168</v>
      </c>
      <c r="C123" t="s">
        <v>319</v>
      </c>
      <c r="D123">
        <v>64</v>
      </c>
      <c r="E123" t="s">
        <v>1253</v>
      </c>
      <c r="F123" t="s">
        <v>1254</v>
      </c>
      <c r="G123" t="s">
        <v>1255</v>
      </c>
      <c r="H123" t="s">
        <v>854</v>
      </c>
      <c r="I123" t="s">
        <v>353</v>
      </c>
      <c r="J123" t="s">
        <v>883</v>
      </c>
      <c r="K123" t="s">
        <v>1256</v>
      </c>
      <c r="L123" t="s">
        <v>1257</v>
      </c>
    </row>
    <row r="124" spans="1:12" x14ac:dyDescent="0.3">
      <c r="A124" t="s">
        <v>218</v>
      </c>
      <c r="B124" t="s">
        <v>1237</v>
      </c>
      <c r="C124" t="s">
        <v>357</v>
      </c>
      <c r="D124">
        <v>56</v>
      </c>
      <c r="E124" t="s">
        <v>1258</v>
      </c>
      <c r="F124" t="s">
        <v>1259</v>
      </c>
      <c r="G124" t="s">
        <v>1260</v>
      </c>
      <c r="H124" t="s">
        <v>1261</v>
      </c>
      <c r="I124" t="s">
        <v>1262</v>
      </c>
      <c r="J124" t="s">
        <v>972</v>
      </c>
      <c r="K124" t="s">
        <v>1263</v>
      </c>
      <c r="L124" t="s">
        <v>1264</v>
      </c>
    </row>
    <row r="125" spans="1:12" x14ac:dyDescent="0.3">
      <c r="A125" t="s">
        <v>219</v>
      </c>
      <c r="B125" t="s">
        <v>1265</v>
      </c>
      <c r="C125" t="s">
        <v>642</v>
      </c>
      <c r="D125">
        <v>24</v>
      </c>
      <c r="E125" t="s">
        <v>1266</v>
      </c>
      <c r="F125" t="s">
        <v>1267</v>
      </c>
      <c r="G125" t="s">
        <v>1153</v>
      </c>
      <c r="H125" t="s">
        <v>896</v>
      </c>
      <c r="I125" t="s">
        <v>1268</v>
      </c>
      <c r="J125" t="s">
        <v>1269</v>
      </c>
      <c r="K125" t="s">
        <v>1270</v>
      </c>
      <c r="L125" t="s">
        <v>1271</v>
      </c>
    </row>
    <row r="126" spans="1:12" x14ac:dyDescent="0.3">
      <c r="A126" t="s">
        <v>220</v>
      </c>
      <c r="B126" t="s">
        <v>1272</v>
      </c>
      <c r="C126" t="s">
        <v>642</v>
      </c>
      <c r="D126">
        <v>95</v>
      </c>
      <c r="E126" t="s">
        <v>1273</v>
      </c>
      <c r="F126" t="s">
        <v>1274</v>
      </c>
      <c r="G126" t="s">
        <v>1275</v>
      </c>
      <c r="H126" t="s">
        <v>1276</v>
      </c>
      <c r="I126" t="s">
        <v>1277</v>
      </c>
      <c r="J126" t="s">
        <v>335</v>
      </c>
      <c r="K126" t="s">
        <v>1143</v>
      </c>
      <c r="L126" t="s">
        <v>1278</v>
      </c>
    </row>
    <row r="127" spans="1:12" x14ac:dyDescent="0.3">
      <c r="A127" t="s">
        <v>221</v>
      </c>
      <c r="B127" t="s">
        <v>328</v>
      </c>
      <c r="C127" t="s">
        <v>1279</v>
      </c>
      <c r="D127">
        <v>89</v>
      </c>
      <c r="E127" t="s">
        <v>1280</v>
      </c>
      <c r="F127" t="s">
        <v>1281</v>
      </c>
      <c r="G127" t="s">
        <v>1282</v>
      </c>
      <c r="H127" t="s">
        <v>1136</v>
      </c>
      <c r="I127" t="s">
        <v>1283</v>
      </c>
      <c r="J127" t="s">
        <v>1284</v>
      </c>
      <c r="K127" t="s">
        <v>1256</v>
      </c>
      <c r="L127" t="s">
        <v>1285</v>
      </c>
    </row>
    <row r="128" spans="1:12" x14ac:dyDescent="0.3">
      <c r="A128" t="s">
        <v>222</v>
      </c>
      <c r="B128" t="s">
        <v>703</v>
      </c>
      <c r="C128" t="s">
        <v>936</v>
      </c>
      <c r="D128">
        <v>48</v>
      </c>
      <c r="E128" t="s">
        <v>1286</v>
      </c>
      <c r="F128" t="s">
        <v>1287</v>
      </c>
      <c r="G128" t="s">
        <v>1288</v>
      </c>
      <c r="H128" t="s">
        <v>1289</v>
      </c>
      <c r="I128" t="s">
        <v>1290</v>
      </c>
      <c r="J128" t="s">
        <v>1291</v>
      </c>
      <c r="K128" t="s">
        <v>963</v>
      </c>
      <c r="L128" t="s">
        <v>1292</v>
      </c>
    </row>
    <row r="129" spans="1:12" x14ac:dyDescent="0.3">
      <c r="A129" t="s">
        <v>223</v>
      </c>
      <c r="B129" t="s">
        <v>366</v>
      </c>
      <c r="C129" t="s">
        <v>1003</v>
      </c>
      <c r="D129">
        <v>61</v>
      </c>
      <c r="E129" t="s">
        <v>1293</v>
      </c>
      <c r="F129" t="s">
        <v>1294</v>
      </c>
      <c r="G129" t="s">
        <v>1295</v>
      </c>
      <c r="H129" t="s">
        <v>490</v>
      </c>
      <c r="I129" t="s">
        <v>1296</v>
      </c>
      <c r="J129" t="s">
        <v>808</v>
      </c>
      <c r="K129" t="s">
        <v>1297</v>
      </c>
      <c r="L129" t="s">
        <v>1298</v>
      </c>
    </row>
    <row r="130" spans="1:12" x14ac:dyDescent="0.3">
      <c r="A130" t="s">
        <v>224</v>
      </c>
      <c r="B130" t="s">
        <v>1299</v>
      </c>
      <c r="C130" t="s">
        <v>1197</v>
      </c>
      <c r="D130">
        <v>66</v>
      </c>
      <c r="E130" t="s">
        <v>339</v>
      </c>
      <c r="F130" t="s">
        <v>622</v>
      </c>
      <c r="G130" t="s">
        <v>1300</v>
      </c>
      <c r="H130" t="s">
        <v>1301</v>
      </c>
      <c r="I130" t="s">
        <v>1302</v>
      </c>
      <c r="J130" t="s">
        <v>728</v>
      </c>
      <c r="K130" t="s">
        <v>655</v>
      </c>
      <c r="L130" t="s">
        <v>1303</v>
      </c>
    </row>
    <row r="131" spans="1:12" x14ac:dyDescent="0.3">
      <c r="A131" t="s">
        <v>225</v>
      </c>
      <c r="B131" t="s">
        <v>1304</v>
      </c>
      <c r="C131" t="s">
        <v>1305</v>
      </c>
      <c r="D131">
        <v>65</v>
      </c>
      <c r="E131" t="s">
        <v>1306</v>
      </c>
      <c r="F131" t="s">
        <v>1307</v>
      </c>
      <c r="G131" t="s">
        <v>1308</v>
      </c>
      <c r="H131" t="s">
        <v>1291</v>
      </c>
      <c r="I131" t="s">
        <v>1309</v>
      </c>
      <c r="J131" t="s">
        <v>1310</v>
      </c>
      <c r="K131" t="s">
        <v>1311</v>
      </c>
      <c r="L131" t="s">
        <v>1312</v>
      </c>
    </row>
    <row r="132" spans="1:12" x14ac:dyDescent="0.3">
      <c r="A132" t="s">
        <v>226</v>
      </c>
      <c r="B132" t="s">
        <v>1237</v>
      </c>
      <c r="C132" t="s">
        <v>290</v>
      </c>
      <c r="D132">
        <v>71</v>
      </c>
      <c r="E132" t="s">
        <v>1313</v>
      </c>
      <c r="F132" t="s">
        <v>1314</v>
      </c>
      <c r="G132" t="s">
        <v>1315</v>
      </c>
      <c r="H132" t="s">
        <v>1316</v>
      </c>
      <c r="I132" t="s">
        <v>1317</v>
      </c>
      <c r="J132" t="s">
        <v>371</v>
      </c>
      <c r="K132" t="s">
        <v>1318</v>
      </c>
      <c r="L132" t="s">
        <v>1319</v>
      </c>
    </row>
    <row r="133" spans="1:12" x14ac:dyDescent="0.3">
      <c r="A133" t="s">
        <v>227</v>
      </c>
      <c r="B133" t="s">
        <v>375</v>
      </c>
      <c r="C133" t="s">
        <v>678</v>
      </c>
      <c r="D133">
        <v>50</v>
      </c>
      <c r="E133" t="s">
        <v>1320</v>
      </c>
      <c r="F133" t="s">
        <v>1321</v>
      </c>
      <c r="G133" t="s">
        <v>1322</v>
      </c>
      <c r="H133" t="s">
        <v>1323</v>
      </c>
      <c r="I133" t="s">
        <v>1324</v>
      </c>
      <c r="J133" t="s">
        <v>884</v>
      </c>
      <c r="K133" t="s">
        <v>908</v>
      </c>
      <c r="L133" t="s">
        <v>743</v>
      </c>
    </row>
    <row r="134" spans="1:12" x14ac:dyDescent="0.3">
      <c r="A134" t="s">
        <v>228</v>
      </c>
      <c r="B134" t="s">
        <v>796</v>
      </c>
      <c r="C134" t="s">
        <v>1325</v>
      </c>
      <c r="D134">
        <v>58</v>
      </c>
      <c r="E134" t="s">
        <v>1326</v>
      </c>
      <c r="F134" t="s">
        <v>1327</v>
      </c>
      <c r="G134" t="s">
        <v>1328</v>
      </c>
      <c r="H134" t="s">
        <v>286</v>
      </c>
      <c r="I134" t="s">
        <v>1329</v>
      </c>
      <c r="J134" t="s">
        <v>1330</v>
      </c>
      <c r="K134" t="s">
        <v>1072</v>
      </c>
      <c r="L134" t="s">
        <v>1331</v>
      </c>
    </row>
    <row r="135" spans="1:12" x14ac:dyDescent="0.3">
      <c r="A135" t="s">
        <v>229</v>
      </c>
      <c r="B135" t="s">
        <v>667</v>
      </c>
      <c r="C135" t="s">
        <v>936</v>
      </c>
      <c r="D135">
        <v>49</v>
      </c>
      <c r="E135" t="s">
        <v>396</v>
      </c>
      <c r="F135" t="s">
        <v>1332</v>
      </c>
      <c r="G135" t="s">
        <v>1333</v>
      </c>
      <c r="H135" t="s">
        <v>585</v>
      </c>
      <c r="I135" t="s">
        <v>1083</v>
      </c>
      <c r="J135" t="s">
        <v>715</v>
      </c>
      <c r="K135" t="s">
        <v>1334</v>
      </c>
      <c r="L135" t="s">
        <v>1335</v>
      </c>
    </row>
    <row r="136" spans="1:12" x14ac:dyDescent="0.3">
      <c r="A136" t="s">
        <v>230</v>
      </c>
      <c r="B136" t="s">
        <v>1336</v>
      </c>
      <c r="C136" t="s">
        <v>290</v>
      </c>
      <c r="D136">
        <v>110</v>
      </c>
      <c r="E136" t="s">
        <v>1337</v>
      </c>
      <c r="F136" t="s">
        <v>1338</v>
      </c>
      <c r="G136" t="s">
        <v>1339</v>
      </c>
      <c r="H136" t="s">
        <v>1235</v>
      </c>
      <c r="I136" t="s">
        <v>1340</v>
      </c>
      <c r="J136" t="s">
        <v>1341</v>
      </c>
      <c r="K136" t="s">
        <v>287</v>
      </c>
      <c r="L136" t="s">
        <v>1342</v>
      </c>
    </row>
    <row r="137" spans="1:12" x14ac:dyDescent="0.3">
      <c r="A137" t="s">
        <v>231</v>
      </c>
      <c r="B137" t="s">
        <v>1343</v>
      </c>
      <c r="C137" t="s">
        <v>1212</v>
      </c>
      <c r="D137">
        <v>68</v>
      </c>
      <c r="E137" t="s">
        <v>1344</v>
      </c>
      <c r="F137" t="s">
        <v>1345</v>
      </c>
      <c r="G137" t="s">
        <v>1346</v>
      </c>
      <c r="H137" t="s">
        <v>1347</v>
      </c>
      <c r="I137" t="s">
        <v>1348</v>
      </c>
      <c r="J137" t="s">
        <v>1349</v>
      </c>
      <c r="K137" t="s">
        <v>1350</v>
      </c>
      <c r="L137" t="s">
        <v>1351</v>
      </c>
    </row>
    <row r="138" spans="1:12" x14ac:dyDescent="0.3">
      <c r="A138" t="s">
        <v>232</v>
      </c>
      <c r="B138" t="s">
        <v>493</v>
      </c>
      <c r="C138" t="s">
        <v>448</v>
      </c>
      <c r="D138">
        <v>22</v>
      </c>
      <c r="E138" t="s">
        <v>1352</v>
      </c>
      <c r="F138" t="s">
        <v>953</v>
      </c>
      <c r="G138" t="s">
        <v>1353</v>
      </c>
      <c r="H138" t="s">
        <v>980</v>
      </c>
      <c r="I138" t="s">
        <v>1354</v>
      </c>
      <c r="J138" t="s">
        <v>1355</v>
      </c>
      <c r="K138" t="s">
        <v>1356</v>
      </c>
      <c r="L138" t="s">
        <v>1357</v>
      </c>
    </row>
    <row r="139" spans="1:12" x14ac:dyDescent="0.3">
      <c r="A139" t="s">
        <v>234</v>
      </c>
      <c r="B139" t="s">
        <v>1358</v>
      </c>
      <c r="C139" t="s">
        <v>711</v>
      </c>
      <c r="D139">
        <v>41</v>
      </c>
      <c r="E139" t="s">
        <v>1359</v>
      </c>
      <c r="F139" t="s">
        <v>1360</v>
      </c>
      <c r="G139" t="s">
        <v>1361</v>
      </c>
      <c r="H139" t="s">
        <v>1362</v>
      </c>
      <c r="I139" t="s">
        <v>925</v>
      </c>
      <c r="J139" t="s">
        <v>1363</v>
      </c>
      <c r="K139" t="s">
        <v>608</v>
      </c>
      <c r="L139" t="s">
        <v>1364</v>
      </c>
    </row>
    <row r="140" spans="1:12" x14ac:dyDescent="0.3">
      <c r="A140" t="s">
        <v>235</v>
      </c>
      <c r="B140" t="s">
        <v>1365</v>
      </c>
      <c r="C140" t="s">
        <v>814</v>
      </c>
      <c r="D140">
        <v>83</v>
      </c>
      <c r="E140" t="s">
        <v>1366</v>
      </c>
      <c r="F140" t="s">
        <v>1367</v>
      </c>
      <c r="G140" t="s">
        <v>1368</v>
      </c>
      <c r="H140" t="s">
        <v>725</v>
      </c>
      <c r="I140" t="s">
        <v>1369</v>
      </c>
      <c r="J140" t="s">
        <v>526</v>
      </c>
      <c r="K140" t="s">
        <v>1370</v>
      </c>
      <c r="L140" t="s">
        <v>1371</v>
      </c>
    </row>
    <row r="141" spans="1:12" x14ac:dyDescent="0.3">
      <c r="A141" t="s">
        <v>237</v>
      </c>
      <c r="B141" t="s">
        <v>610</v>
      </c>
      <c r="C141" t="s">
        <v>1372</v>
      </c>
      <c r="D141">
        <v>82</v>
      </c>
      <c r="E141" t="s">
        <v>1373</v>
      </c>
      <c r="F141" t="s">
        <v>572</v>
      </c>
      <c r="G141" t="s">
        <v>1374</v>
      </c>
      <c r="H141" t="s">
        <v>1375</v>
      </c>
      <c r="I141" t="s">
        <v>1376</v>
      </c>
      <c r="J141" t="s">
        <v>1377</v>
      </c>
      <c r="K141" t="s">
        <v>717</v>
      </c>
      <c r="L141" t="s">
        <v>1378</v>
      </c>
    </row>
    <row r="142" spans="1:12" x14ac:dyDescent="0.3">
      <c r="A142" t="s">
        <v>238</v>
      </c>
      <c r="B142" t="s">
        <v>760</v>
      </c>
      <c r="C142" t="s">
        <v>1379</v>
      </c>
      <c r="D142">
        <v>40</v>
      </c>
      <c r="E142" t="s">
        <v>1380</v>
      </c>
      <c r="F142" t="s">
        <v>1381</v>
      </c>
      <c r="G142" t="s">
        <v>1382</v>
      </c>
      <c r="H142" t="s">
        <v>1047</v>
      </c>
      <c r="I142" t="s">
        <v>1383</v>
      </c>
      <c r="J142" t="s">
        <v>835</v>
      </c>
      <c r="K142" t="s">
        <v>1022</v>
      </c>
      <c r="L142" t="s">
        <v>1384</v>
      </c>
    </row>
    <row r="143" spans="1:12" x14ac:dyDescent="0.3">
      <c r="A143" t="s">
        <v>239</v>
      </c>
      <c r="B143" t="s">
        <v>796</v>
      </c>
      <c r="C143" t="s">
        <v>476</v>
      </c>
      <c r="D143">
        <v>91</v>
      </c>
      <c r="E143" t="s">
        <v>1385</v>
      </c>
      <c r="F143" t="s">
        <v>1386</v>
      </c>
      <c r="G143" t="s">
        <v>895</v>
      </c>
      <c r="H143" t="s">
        <v>734</v>
      </c>
      <c r="I143" t="s">
        <v>1387</v>
      </c>
      <c r="J143" t="s">
        <v>1189</v>
      </c>
      <c r="K143" t="s">
        <v>1388</v>
      </c>
      <c r="L143" t="s">
        <v>1389</v>
      </c>
    </row>
    <row r="144" spans="1:12" x14ac:dyDescent="0.3">
      <c r="A144" t="s">
        <v>240</v>
      </c>
      <c r="B144" t="s">
        <v>804</v>
      </c>
      <c r="C144" t="s">
        <v>921</v>
      </c>
      <c r="D144">
        <v>35</v>
      </c>
      <c r="E144" t="s">
        <v>1390</v>
      </c>
      <c r="F144" t="s">
        <v>1391</v>
      </c>
      <c r="G144" t="s">
        <v>1392</v>
      </c>
      <c r="H144" t="s">
        <v>1263</v>
      </c>
      <c r="I144" t="s">
        <v>1393</v>
      </c>
      <c r="J144" t="s">
        <v>1073</v>
      </c>
      <c r="K144" t="s">
        <v>1394</v>
      </c>
      <c r="L144" t="s">
        <v>1395</v>
      </c>
    </row>
    <row r="145" spans="1:12" x14ac:dyDescent="0.3">
      <c r="A145" t="s">
        <v>241</v>
      </c>
      <c r="B145" t="s">
        <v>575</v>
      </c>
      <c r="C145" t="s">
        <v>1003</v>
      </c>
      <c r="D145">
        <v>76</v>
      </c>
      <c r="E145" t="s">
        <v>1396</v>
      </c>
      <c r="F145" t="s">
        <v>1397</v>
      </c>
      <c r="G145" t="s">
        <v>946</v>
      </c>
      <c r="H145" t="s">
        <v>675</v>
      </c>
      <c r="I145" t="s">
        <v>1398</v>
      </c>
      <c r="J145" t="s">
        <v>1399</v>
      </c>
      <c r="K145" t="s">
        <v>1400</v>
      </c>
      <c r="L145" t="s">
        <v>1401</v>
      </c>
    </row>
    <row r="146" spans="1:12" x14ac:dyDescent="0.3">
      <c r="A146" t="s">
        <v>242</v>
      </c>
      <c r="B146" t="s">
        <v>650</v>
      </c>
      <c r="C146" t="s">
        <v>721</v>
      </c>
      <c r="D146">
        <v>103</v>
      </c>
      <c r="E146" t="s">
        <v>1402</v>
      </c>
      <c r="F146" t="s">
        <v>1403</v>
      </c>
      <c r="G146" t="s">
        <v>1404</v>
      </c>
      <c r="H146" t="s">
        <v>335</v>
      </c>
      <c r="I146" t="s">
        <v>1405</v>
      </c>
      <c r="J146" t="s">
        <v>1406</v>
      </c>
      <c r="K146" t="s">
        <v>381</v>
      </c>
      <c r="L146" t="s">
        <v>1407</v>
      </c>
    </row>
    <row r="147" spans="1:12" x14ac:dyDescent="0.3">
      <c r="A147" t="s">
        <v>243</v>
      </c>
      <c r="B147" t="s">
        <v>1408</v>
      </c>
      <c r="C147" t="s">
        <v>959</v>
      </c>
      <c r="D147">
        <v>61</v>
      </c>
      <c r="E147" t="s">
        <v>1409</v>
      </c>
      <c r="F147" t="s">
        <v>1410</v>
      </c>
      <c r="G147" t="s">
        <v>1320</v>
      </c>
      <c r="H147" t="s">
        <v>1126</v>
      </c>
      <c r="I147" t="s">
        <v>1411</v>
      </c>
      <c r="J147" t="s">
        <v>480</v>
      </c>
      <c r="K147" t="s">
        <v>266</v>
      </c>
      <c r="L147" t="s">
        <v>1412</v>
      </c>
    </row>
    <row r="148" spans="1:12" x14ac:dyDescent="0.3">
      <c r="A148" t="s">
        <v>244</v>
      </c>
      <c r="B148" t="s">
        <v>347</v>
      </c>
      <c r="C148" t="s">
        <v>310</v>
      </c>
      <c r="D148">
        <v>44</v>
      </c>
      <c r="E148" t="s">
        <v>1413</v>
      </c>
      <c r="F148" t="s">
        <v>1414</v>
      </c>
      <c r="G148" t="s">
        <v>1415</v>
      </c>
      <c r="H148" t="s">
        <v>1416</v>
      </c>
      <c r="I148" t="s">
        <v>1417</v>
      </c>
      <c r="J148" t="s">
        <v>1418</v>
      </c>
      <c r="K148" t="s">
        <v>896</v>
      </c>
      <c r="L148" t="s">
        <v>1419</v>
      </c>
    </row>
    <row r="149" spans="1:12" x14ac:dyDescent="0.3">
      <c r="A149" t="s">
        <v>245</v>
      </c>
      <c r="B149" t="s">
        <v>1420</v>
      </c>
      <c r="C149" t="s">
        <v>1421</v>
      </c>
      <c r="D149">
        <v>36</v>
      </c>
      <c r="E149" t="s">
        <v>1422</v>
      </c>
      <c r="F149" t="s">
        <v>1423</v>
      </c>
      <c r="G149" t="s">
        <v>1424</v>
      </c>
      <c r="H149" t="s">
        <v>445</v>
      </c>
      <c r="I149" t="s">
        <v>1038</v>
      </c>
      <c r="J149" t="s">
        <v>1425</v>
      </c>
      <c r="K149" t="s">
        <v>1426</v>
      </c>
      <c r="L149" t="s">
        <v>1427</v>
      </c>
    </row>
    <row r="150" spans="1:12" x14ac:dyDescent="0.3">
      <c r="A150" t="s">
        <v>246</v>
      </c>
      <c r="B150" t="s">
        <v>402</v>
      </c>
      <c r="C150" t="s">
        <v>513</v>
      </c>
      <c r="D150">
        <v>81</v>
      </c>
      <c r="E150" t="s">
        <v>1428</v>
      </c>
      <c r="F150" t="s">
        <v>1429</v>
      </c>
      <c r="G150" t="s">
        <v>1430</v>
      </c>
      <c r="H150" t="s">
        <v>980</v>
      </c>
      <c r="I150" t="s">
        <v>1431</v>
      </c>
      <c r="J150" t="s">
        <v>1432</v>
      </c>
      <c r="K150" t="s">
        <v>1433</v>
      </c>
      <c r="L150" t="s">
        <v>1434</v>
      </c>
    </row>
    <row r="151" spans="1:12" x14ac:dyDescent="0.3">
      <c r="A151" t="s">
        <v>247</v>
      </c>
      <c r="B151" t="s">
        <v>1435</v>
      </c>
      <c r="C151" t="s">
        <v>260</v>
      </c>
      <c r="D151">
        <v>105</v>
      </c>
      <c r="E151" t="s">
        <v>1436</v>
      </c>
      <c r="F151" t="s">
        <v>1437</v>
      </c>
      <c r="G151" t="s">
        <v>1438</v>
      </c>
      <c r="H151" t="s">
        <v>1377</v>
      </c>
      <c r="I151" t="s">
        <v>1439</v>
      </c>
      <c r="J151" t="s">
        <v>802</v>
      </c>
      <c r="K151" t="s">
        <v>615</v>
      </c>
      <c r="L151" t="s">
        <v>1440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51"/>
  <sheetViews>
    <sheetView workbookViewId="0">
      <selection sqref="A1:J151"/>
    </sheetView>
  </sheetViews>
  <sheetFormatPr defaultRowHeight="14.4" x14ac:dyDescent="0.3"/>
  <cols>
    <col min="1" max="1" width="25.109375" bestFit="1" customWidth="1"/>
    <col min="2" max="2" width="12.6640625" bestFit="1" customWidth="1"/>
    <col min="3" max="3" width="14.5546875" bestFit="1" customWidth="1"/>
    <col min="4" max="4" width="15" style="1" bestFit="1" customWidth="1"/>
    <col min="5" max="5" width="13.33203125" style="2" bestFit="1" customWidth="1"/>
    <col min="6" max="6" width="9" bestFit="1" customWidth="1"/>
    <col min="7" max="7" width="15.33203125" bestFit="1" customWidth="1"/>
    <col min="8" max="8" width="21.88671875" bestFit="1" customWidth="1"/>
    <col min="9" max="9" width="20.21875" bestFit="1" customWidth="1"/>
    <col min="10" max="10" width="19.5546875" bestFit="1" customWidth="1"/>
  </cols>
  <sheetData>
    <row r="1" spans="1:10" x14ac:dyDescent="0.3">
      <c r="A1" t="s">
        <v>0</v>
      </c>
      <c r="B1" t="s">
        <v>250</v>
      </c>
      <c r="C1" t="s">
        <v>1441</v>
      </c>
      <c r="D1" s="1" t="s">
        <v>1442</v>
      </c>
      <c r="E1" s="2" t="s">
        <v>1443</v>
      </c>
      <c r="F1" t="s">
        <v>1444</v>
      </c>
      <c r="G1" t="s">
        <v>1445</v>
      </c>
      <c r="H1" t="s">
        <v>1446</v>
      </c>
      <c r="I1" t="s">
        <v>1447</v>
      </c>
      <c r="J1" t="s">
        <v>1448</v>
      </c>
    </row>
    <row r="2" spans="1:10" x14ac:dyDescent="0.3">
      <c r="A2" t="s">
        <v>9</v>
      </c>
      <c r="B2">
        <v>94</v>
      </c>
      <c r="C2" t="s">
        <v>1449</v>
      </c>
      <c r="D2" s="1" t="s">
        <v>595</v>
      </c>
      <c r="E2" s="2" t="s">
        <v>1377</v>
      </c>
      <c r="F2" t="s">
        <v>1277</v>
      </c>
      <c r="G2" t="s">
        <v>1341</v>
      </c>
      <c r="H2" t="s">
        <v>12</v>
      </c>
      <c r="I2" t="s">
        <v>13</v>
      </c>
      <c r="J2" t="s">
        <v>13</v>
      </c>
    </row>
    <row r="3" spans="1:10" x14ac:dyDescent="0.3">
      <c r="A3" t="s">
        <v>17</v>
      </c>
      <c r="B3">
        <v>31</v>
      </c>
      <c r="C3" t="s">
        <v>1450</v>
      </c>
      <c r="D3" s="1" t="s">
        <v>436</v>
      </c>
      <c r="E3" s="2" t="s">
        <v>1194</v>
      </c>
      <c r="F3" t="s">
        <v>1451</v>
      </c>
      <c r="G3" t="s">
        <v>623</v>
      </c>
      <c r="H3" t="s">
        <v>12</v>
      </c>
      <c r="I3" t="s">
        <v>37</v>
      </c>
      <c r="J3" t="s">
        <v>37</v>
      </c>
    </row>
    <row r="4" spans="1:10" x14ac:dyDescent="0.3">
      <c r="A4" t="s">
        <v>24</v>
      </c>
      <c r="B4">
        <v>33</v>
      </c>
      <c r="C4" t="s">
        <v>1452</v>
      </c>
      <c r="D4" s="1" t="s">
        <v>1020</v>
      </c>
      <c r="E4" s="2" t="s">
        <v>1453</v>
      </c>
      <c r="F4" t="s">
        <v>1454</v>
      </c>
      <c r="G4" t="s">
        <v>1455</v>
      </c>
      <c r="H4" t="s">
        <v>26</v>
      </c>
      <c r="I4" t="s">
        <v>14</v>
      </c>
      <c r="J4" t="s">
        <v>13</v>
      </c>
    </row>
    <row r="5" spans="1:10" x14ac:dyDescent="0.3">
      <c r="A5" t="s">
        <v>29</v>
      </c>
      <c r="B5">
        <v>36</v>
      </c>
      <c r="C5" t="s">
        <v>1456</v>
      </c>
      <c r="D5" s="1" t="s">
        <v>418</v>
      </c>
      <c r="E5" s="2" t="s">
        <v>1457</v>
      </c>
      <c r="F5" t="s">
        <v>1458</v>
      </c>
      <c r="G5" t="s">
        <v>1459</v>
      </c>
      <c r="H5" t="s">
        <v>32</v>
      </c>
      <c r="I5" t="s">
        <v>37</v>
      </c>
      <c r="J5" t="s">
        <v>13</v>
      </c>
    </row>
    <row r="6" spans="1:10" x14ac:dyDescent="0.3">
      <c r="A6" t="s">
        <v>34</v>
      </c>
      <c r="B6">
        <v>40</v>
      </c>
      <c r="C6" t="s">
        <v>982</v>
      </c>
      <c r="D6" s="1" t="s">
        <v>1460</v>
      </c>
      <c r="E6" s="2" t="s">
        <v>718</v>
      </c>
      <c r="F6" t="s">
        <v>1461</v>
      </c>
      <c r="G6" t="s">
        <v>1171</v>
      </c>
      <c r="H6" t="s">
        <v>26</v>
      </c>
      <c r="I6" t="s">
        <v>37</v>
      </c>
      <c r="J6" t="s">
        <v>14</v>
      </c>
    </row>
    <row r="7" spans="1:10" x14ac:dyDescent="0.3">
      <c r="A7" t="s">
        <v>39</v>
      </c>
      <c r="B7">
        <v>55</v>
      </c>
      <c r="C7" t="s">
        <v>1462</v>
      </c>
      <c r="D7" s="1" t="s">
        <v>498</v>
      </c>
      <c r="E7" s="2" t="s">
        <v>1463</v>
      </c>
      <c r="F7" t="s">
        <v>1464</v>
      </c>
      <c r="G7" t="s">
        <v>1465</v>
      </c>
      <c r="H7" t="s">
        <v>15</v>
      </c>
      <c r="I7" t="s">
        <v>14</v>
      </c>
      <c r="J7" t="s">
        <v>13</v>
      </c>
    </row>
    <row r="8" spans="1:10" x14ac:dyDescent="0.3">
      <c r="A8" t="s">
        <v>41</v>
      </c>
      <c r="B8">
        <v>31</v>
      </c>
      <c r="C8" t="s">
        <v>408</v>
      </c>
      <c r="D8" s="1" t="s">
        <v>400</v>
      </c>
      <c r="E8" s="2" t="s">
        <v>1466</v>
      </c>
      <c r="F8" t="s">
        <v>1467</v>
      </c>
      <c r="G8" t="s">
        <v>1468</v>
      </c>
      <c r="H8" t="s">
        <v>32</v>
      </c>
      <c r="I8" t="s">
        <v>13</v>
      </c>
      <c r="J8" t="s">
        <v>37</v>
      </c>
    </row>
    <row r="9" spans="1:10" x14ac:dyDescent="0.3">
      <c r="A9" t="s">
        <v>44</v>
      </c>
      <c r="B9">
        <v>53</v>
      </c>
      <c r="C9" t="s">
        <v>1469</v>
      </c>
      <c r="D9" s="1" t="s">
        <v>1394</v>
      </c>
      <c r="E9" s="2" t="s">
        <v>1470</v>
      </c>
      <c r="F9" t="s">
        <v>1471</v>
      </c>
      <c r="G9" t="s">
        <v>1316</v>
      </c>
      <c r="H9" t="s">
        <v>15</v>
      </c>
      <c r="I9" t="s">
        <v>13</v>
      </c>
      <c r="J9" t="s">
        <v>13</v>
      </c>
    </row>
    <row r="10" spans="1:10" x14ac:dyDescent="0.3">
      <c r="A10" t="s">
        <v>46</v>
      </c>
      <c r="B10">
        <v>31</v>
      </c>
      <c r="C10" t="s">
        <v>1472</v>
      </c>
      <c r="D10" s="1" t="s">
        <v>361</v>
      </c>
      <c r="E10" s="2" t="s">
        <v>354</v>
      </c>
      <c r="F10" t="s">
        <v>1473</v>
      </c>
      <c r="G10" t="s">
        <v>406</v>
      </c>
      <c r="H10" t="s">
        <v>32</v>
      </c>
      <c r="I10" t="s">
        <v>37</v>
      </c>
      <c r="J10" t="s">
        <v>13</v>
      </c>
    </row>
    <row r="11" spans="1:10" x14ac:dyDescent="0.3">
      <c r="A11" t="s">
        <v>50</v>
      </c>
      <c r="B11">
        <v>82</v>
      </c>
      <c r="C11" t="s">
        <v>1474</v>
      </c>
      <c r="D11" s="1" t="s">
        <v>607</v>
      </c>
      <c r="E11" s="2" t="s">
        <v>851</v>
      </c>
      <c r="F11" t="s">
        <v>1475</v>
      </c>
      <c r="G11" t="s">
        <v>1476</v>
      </c>
      <c r="H11" t="s">
        <v>32</v>
      </c>
      <c r="I11" t="s">
        <v>13</v>
      </c>
      <c r="J11" t="s">
        <v>37</v>
      </c>
    </row>
    <row r="12" spans="1:10" x14ac:dyDescent="0.3">
      <c r="A12" t="s">
        <v>54</v>
      </c>
      <c r="B12">
        <v>34</v>
      </c>
      <c r="C12" t="s">
        <v>1477</v>
      </c>
      <c r="D12" s="1" t="s">
        <v>742</v>
      </c>
      <c r="E12" s="2" t="s">
        <v>1106</v>
      </c>
      <c r="F12" t="s">
        <v>1478</v>
      </c>
      <c r="G12" t="s">
        <v>1479</v>
      </c>
      <c r="H12" t="s">
        <v>26</v>
      </c>
      <c r="I12" t="s">
        <v>13</v>
      </c>
      <c r="J12" t="s">
        <v>13</v>
      </c>
    </row>
    <row r="13" spans="1:10" x14ac:dyDescent="0.3">
      <c r="A13" t="s">
        <v>57</v>
      </c>
      <c r="B13">
        <v>118</v>
      </c>
      <c r="C13" t="s">
        <v>1480</v>
      </c>
      <c r="D13" s="1" t="s">
        <v>266</v>
      </c>
      <c r="E13" s="2" t="s">
        <v>373</v>
      </c>
      <c r="F13" t="s">
        <v>1481</v>
      </c>
      <c r="G13" t="s">
        <v>1482</v>
      </c>
      <c r="H13" t="s">
        <v>15</v>
      </c>
      <c r="I13" t="s">
        <v>37</v>
      </c>
      <c r="J13" t="s">
        <v>14</v>
      </c>
    </row>
    <row r="14" spans="1:10" x14ac:dyDescent="0.3">
      <c r="A14" t="s">
        <v>59</v>
      </c>
      <c r="B14">
        <v>83</v>
      </c>
      <c r="C14" t="s">
        <v>1483</v>
      </c>
      <c r="D14" s="1" t="s">
        <v>1484</v>
      </c>
      <c r="E14" s="2" t="s">
        <v>408</v>
      </c>
      <c r="F14" t="s">
        <v>1485</v>
      </c>
      <c r="G14" t="s">
        <v>1485</v>
      </c>
      <c r="H14" t="s">
        <v>15</v>
      </c>
      <c r="I14" t="s">
        <v>13</v>
      </c>
      <c r="J14" t="s">
        <v>14</v>
      </c>
    </row>
    <row r="15" spans="1:10" x14ac:dyDescent="0.3">
      <c r="A15" t="s">
        <v>61</v>
      </c>
      <c r="B15">
        <v>36</v>
      </c>
      <c r="C15" t="s">
        <v>715</v>
      </c>
      <c r="D15" s="1" t="s">
        <v>1006</v>
      </c>
      <c r="E15" s="2" t="s">
        <v>776</v>
      </c>
      <c r="F15" t="s">
        <v>573</v>
      </c>
      <c r="G15" t="s">
        <v>1486</v>
      </c>
      <c r="H15" t="s">
        <v>26</v>
      </c>
      <c r="I15" t="s">
        <v>13</v>
      </c>
      <c r="J15" t="s">
        <v>37</v>
      </c>
    </row>
    <row r="16" spans="1:10" x14ac:dyDescent="0.3">
      <c r="A16" t="s">
        <v>62</v>
      </c>
      <c r="B16">
        <v>85</v>
      </c>
      <c r="C16" t="s">
        <v>1459</v>
      </c>
      <c r="D16" s="1" t="s">
        <v>908</v>
      </c>
      <c r="E16" s="2" t="s">
        <v>1487</v>
      </c>
      <c r="F16" t="s">
        <v>1488</v>
      </c>
      <c r="G16" t="s">
        <v>1128</v>
      </c>
      <c r="H16" t="s">
        <v>12</v>
      </c>
      <c r="I16" t="s">
        <v>14</v>
      </c>
      <c r="J16" t="s">
        <v>37</v>
      </c>
    </row>
    <row r="17" spans="1:10" x14ac:dyDescent="0.3">
      <c r="A17" t="s">
        <v>64</v>
      </c>
      <c r="B17">
        <v>73</v>
      </c>
      <c r="C17" t="s">
        <v>802</v>
      </c>
      <c r="D17" s="1" t="s">
        <v>472</v>
      </c>
      <c r="E17" s="2" t="s">
        <v>1489</v>
      </c>
      <c r="F17" t="s">
        <v>1490</v>
      </c>
      <c r="G17" t="s">
        <v>1491</v>
      </c>
      <c r="H17" t="s">
        <v>15</v>
      </c>
      <c r="I17" t="s">
        <v>37</v>
      </c>
      <c r="J17" t="s">
        <v>37</v>
      </c>
    </row>
    <row r="18" spans="1:10" x14ac:dyDescent="0.3">
      <c r="A18" t="s">
        <v>67</v>
      </c>
      <c r="B18">
        <v>117</v>
      </c>
      <c r="C18" t="s">
        <v>1492</v>
      </c>
      <c r="D18" s="1" t="s">
        <v>1310</v>
      </c>
      <c r="E18" s="2" t="s">
        <v>266</v>
      </c>
      <c r="F18" t="s">
        <v>1493</v>
      </c>
      <c r="G18" t="s">
        <v>1494</v>
      </c>
      <c r="H18" t="s">
        <v>15</v>
      </c>
      <c r="I18" t="s">
        <v>13</v>
      </c>
      <c r="J18" t="s">
        <v>13</v>
      </c>
    </row>
    <row r="19" spans="1:10" x14ac:dyDescent="0.3">
      <c r="A19" t="s">
        <v>70</v>
      </c>
      <c r="B19">
        <v>89</v>
      </c>
      <c r="C19" t="s">
        <v>1394</v>
      </c>
      <c r="D19" s="1" t="s">
        <v>1251</v>
      </c>
      <c r="E19" s="2" t="s">
        <v>1495</v>
      </c>
      <c r="F19" t="s">
        <v>1496</v>
      </c>
      <c r="G19" t="s">
        <v>1497</v>
      </c>
      <c r="H19" t="s">
        <v>15</v>
      </c>
      <c r="I19" t="s">
        <v>37</v>
      </c>
      <c r="J19" t="s">
        <v>13</v>
      </c>
    </row>
    <row r="20" spans="1:10" x14ac:dyDescent="0.3">
      <c r="A20" t="s">
        <v>71</v>
      </c>
      <c r="B20">
        <v>85</v>
      </c>
      <c r="C20" t="s">
        <v>455</v>
      </c>
      <c r="D20" s="1" t="s">
        <v>1022</v>
      </c>
      <c r="E20" s="2" t="s">
        <v>933</v>
      </c>
      <c r="F20" t="s">
        <v>1498</v>
      </c>
      <c r="G20" t="s">
        <v>436</v>
      </c>
      <c r="H20" t="s">
        <v>12</v>
      </c>
      <c r="I20" t="s">
        <v>37</v>
      </c>
      <c r="J20" t="s">
        <v>13</v>
      </c>
    </row>
    <row r="21" spans="1:10" x14ac:dyDescent="0.3">
      <c r="A21" t="s">
        <v>74</v>
      </c>
      <c r="B21">
        <v>52</v>
      </c>
      <c r="C21" t="s">
        <v>1499</v>
      </c>
      <c r="D21" s="1" t="s">
        <v>408</v>
      </c>
      <c r="E21" s="2" t="s">
        <v>608</v>
      </c>
      <c r="F21" t="s">
        <v>1500</v>
      </c>
      <c r="G21" t="s">
        <v>1501</v>
      </c>
      <c r="H21" t="s">
        <v>15</v>
      </c>
      <c r="I21" t="s">
        <v>37</v>
      </c>
      <c r="J21" t="s">
        <v>37</v>
      </c>
    </row>
    <row r="22" spans="1:10" x14ac:dyDescent="0.3">
      <c r="A22" t="s">
        <v>76</v>
      </c>
      <c r="B22">
        <v>66</v>
      </c>
      <c r="C22" t="s">
        <v>1502</v>
      </c>
      <c r="D22" s="1" t="s">
        <v>693</v>
      </c>
      <c r="E22" s="2" t="s">
        <v>1221</v>
      </c>
      <c r="F22" t="s">
        <v>1503</v>
      </c>
      <c r="G22" t="s">
        <v>1504</v>
      </c>
      <c r="H22" t="s">
        <v>26</v>
      </c>
      <c r="I22" t="s">
        <v>13</v>
      </c>
      <c r="J22" t="s">
        <v>13</v>
      </c>
    </row>
    <row r="23" spans="1:10" x14ac:dyDescent="0.3">
      <c r="A23" t="s">
        <v>79</v>
      </c>
      <c r="B23">
        <v>107</v>
      </c>
      <c r="C23" t="s">
        <v>1505</v>
      </c>
      <c r="D23" s="1" t="s">
        <v>802</v>
      </c>
      <c r="E23" s="2" t="s">
        <v>1506</v>
      </c>
      <c r="F23" t="s">
        <v>1507</v>
      </c>
      <c r="G23" t="s">
        <v>1508</v>
      </c>
      <c r="H23" t="s">
        <v>32</v>
      </c>
      <c r="I23" t="s">
        <v>14</v>
      </c>
      <c r="J23" t="s">
        <v>14</v>
      </c>
    </row>
    <row r="24" spans="1:10" x14ac:dyDescent="0.3">
      <c r="A24" t="s">
        <v>82</v>
      </c>
      <c r="B24">
        <v>79</v>
      </c>
      <c r="C24" t="s">
        <v>1509</v>
      </c>
      <c r="D24" s="1" t="s">
        <v>1510</v>
      </c>
      <c r="E24" s="2" t="s">
        <v>1511</v>
      </c>
      <c r="F24" t="s">
        <v>1512</v>
      </c>
      <c r="G24" t="s">
        <v>1513</v>
      </c>
      <c r="H24" t="s">
        <v>12</v>
      </c>
      <c r="I24" t="s">
        <v>13</v>
      </c>
      <c r="J24" t="s">
        <v>14</v>
      </c>
    </row>
    <row r="25" spans="1:10" x14ac:dyDescent="0.3">
      <c r="A25" t="s">
        <v>85</v>
      </c>
      <c r="B25">
        <v>101</v>
      </c>
      <c r="C25" t="s">
        <v>1514</v>
      </c>
      <c r="D25" s="1" t="s">
        <v>875</v>
      </c>
      <c r="E25" s="2" t="s">
        <v>1515</v>
      </c>
      <c r="F25" t="s">
        <v>1516</v>
      </c>
      <c r="G25" t="s">
        <v>1517</v>
      </c>
      <c r="H25" t="s">
        <v>12</v>
      </c>
      <c r="I25" t="s">
        <v>13</v>
      </c>
      <c r="J25" t="s">
        <v>37</v>
      </c>
    </row>
    <row r="26" spans="1:10" x14ac:dyDescent="0.3">
      <c r="A26" t="s">
        <v>87</v>
      </c>
      <c r="B26">
        <v>100</v>
      </c>
      <c r="C26" t="s">
        <v>587</v>
      </c>
      <c r="D26" s="1" t="s">
        <v>498</v>
      </c>
      <c r="E26" s="2" t="s">
        <v>1518</v>
      </c>
      <c r="F26" t="s">
        <v>1074</v>
      </c>
      <c r="G26" t="s">
        <v>1519</v>
      </c>
      <c r="H26" t="s">
        <v>26</v>
      </c>
      <c r="I26" t="s">
        <v>37</v>
      </c>
      <c r="J26" t="s">
        <v>13</v>
      </c>
    </row>
    <row r="27" spans="1:10" x14ac:dyDescent="0.3">
      <c r="A27" t="s">
        <v>89</v>
      </c>
      <c r="B27">
        <v>89</v>
      </c>
      <c r="C27" t="s">
        <v>1463</v>
      </c>
      <c r="D27" s="1" t="s">
        <v>1418</v>
      </c>
      <c r="E27" s="2" t="s">
        <v>1520</v>
      </c>
      <c r="F27" t="s">
        <v>1521</v>
      </c>
      <c r="G27" t="s">
        <v>1522</v>
      </c>
      <c r="H27" t="s">
        <v>32</v>
      </c>
      <c r="I27" t="s">
        <v>37</v>
      </c>
      <c r="J27" t="s">
        <v>13</v>
      </c>
    </row>
    <row r="28" spans="1:10" x14ac:dyDescent="0.3">
      <c r="A28" t="s">
        <v>91</v>
      </c>
      <c r="B28">
        <v>20</v>
      </c>
      <c r="C28" t="s">
        <v>1523</v>
      </c>
      <c r="D28" s="1" t="s">
        <v>982</v>
      </c>
      <c r="E28" s="2" t="s">
        <v>1524</v>
      </c>
      <c r="F28" t="s">
        <v>1525</v>
      </c>
      <c r="G28" t="s">
        <v>896</v>
      </c>
      <c r="H28" t="s">
        <v>12</v>
      </c>
      <c r="I28" t="s">
        <v>37</v>
      </c>
      <c r="J28" t="s">
        <v>13</v>
      </c>
    </row>
    <row r="29" spans="1:10" x14ac:dyDescent="0.3">
      <c r="A29" t="s">
        <v>92</v>
      </c>
      <c r="B29">
        <v>34</v>
      </c>
      <c r="C29" t="s">
        <v>1394</v>
      </c>
      <c r="D29" s="1" t="s">
        <v>316</v>
      </c>
      <c r="E29" s="2" t="s">
        <v>956</v>
      </c>
      <c r="F29" t="s">
        <v>1526</v>
      </c>
      <c r="G29" t="s">
        <v>1527</v>
      </c>
      <c r="H29" t="s">
        <v>32</v>
      </c>
      <c r="I29" t="s">
        <v>14</v>
      </c>
      <c r="J29" t="s">
        <v>14</v>
      </c>
    </row>
    <row r="30" spans="1:10" x14ac:dyDescent="0.3">
      <c r="A30" t="s">
        <v>94</v>
      </c>
      <c r="B30">
        <v>92</v>
      </c>
      <c r="C30" t="s">
        <v>1528</v>
      </c>
      <c r="D30" s="1" t="s">
        <v>1529</v>
      </c>
      <c r="E30" s="2" t="s">
        <v>701</v>
      </c>
      <c r="F30" t="s">
        <v>1530</v>
      </c>
      <c r="G30" t="s">
        <v>1531</v>
      </c>
      <c r="H30" t="s">
        <v>15</v>
      </c>
      <c r="I30" t="s">
        <v>14</v>
      </c>
      <c r="J30" t="s">
        <v>13</v>
      </c>
    </row>
    <row r="31" spans="1:10" x14ac:dyDescent="0.3">
      <c r="A31" t="s">
        <v>97</v>
      </c>
      <c r="B31">
        <v>111</v>
      </c>
      <c r="C31" t="s">
        <v>1532</v>
      </c>
      <c r="D31" s="1" t="s">
        <v>1533</v>
      </c>
      <c r="E31" s="2" t="s">
        <v>455</v>
      </c>
      <c r="F31" t="s">
        <v>1534</v>
      </c>
      <c r="G31" t="s">
        <v>296</v>
      </c>
      <c r="H31" t="s">
        <v>12</v>
      </c>
      <c r="I31" t="s">
        <v>13</v>
      </c>
      <c r="J31" t="s">
        <v>37</v>
      </c>
    </row>
    <row r="32" spans="1:10" x14ac:dyDescent="0.3">
      <c r="A32" t="s">
        <v>99</v>
      </c>
      <c r="B32">
        <v>51</v>
      </c>
      <c r="C32" t="s">
        <v>1535</v>
      </c>
      <c r="D32" s="1" t="s">
        <v>637</v>
      </c>
      <c r="E32" s="2" t="s">
        <v>1536</v>
      </c>
      <c r="F32" t="s">
        <v>1537</v>
      </c>
      <c r="G32" t="s">
        <v>1538</v>
      </c>
      <c r="H32" t="s">
        <v>15</v>
      </c>
      <c r="I32" t="s">
        <v>13</v>
      </c>
      <c r="J32" t="s">
        <v>14</v>
      </c>
    </row>
    <row r="33" spans="1:10" x14ac:dyDescent="0.3">
      <c r="A33" t="s">
        <v>100</v>
      </c>
      <c r="B33">
        <v>114</v>
      </c>
      <c r="C33" t="s">
        <v>1539</v>
      </c>
      <c r="D33" s="1" t="s">
        <v>364</v>
      </c>
      <c r="E33" s="2" t="s">
        <v>1540</v>
      </c>
      <c r="F33" t="s">
        <v>1541</v>
      </c>
      <c r="G33" t="s">
        <v>454</v>
      </c>
      <c r="H33" t="s">
        <v>12</v>
      </c>
      <c r="I33" t="s">
        <v>37</v>
      </c>
      <c r="J33" t="s">
        <v>14</v>
      </c>
    </row>
    <row r="34" spans="1:10" x14ac:dyDescent="0.3">
      <c r="A34" t="s">
        <v>101</v>
      </c>
      <c r="B34">
        <v>39</v>
      </c>
      <c r="C34" t="s">
        <v>947</v>
      </c>
      <c r="D34" s="1" t="s">
        <v>827</v>
      </c>
      <c r="E34" s="2" t="s">
        <v>1235</v>
      </c>
      <c r="F34" t="s">
        <v>1542</v>
      </c>
      <c r="G34" t="s">
        <v>963</v>
      </c>
      <c r="H34" t="s">
        <v>26</v>
      </c>
      <c r="I34" t="s">
        <v>13</v>
      </c>
      <c r="J34" t="s">
        <v>14</v>
      </c>
    </row>
    <row r="35" spans="1:10" x14ac:dyDescent="0.3">
      <c r="A35" t="s">
        <v>103</v>
      </c>
      <c r="B35">
        <v>38</v>
      </c>
      <c r="C35" t="s">
        <v>1543</v>
      </c>
      <c r="D35" s="1" t="s">
        <v>1544</v>
      </c>
      <c r="E35" s="2" t="s">
        <v>1545</v>
      </c>
      <c r="F35" t="s">
        <v>1546</v>
      </c>
      <c r="G35" t="s">
        <v>851</v>
      </c>
      <c r="H35" t="s">
        <v>32</v>
      </c>
      <c r="I35" t="s">
        <v>14</v>
      </c>
      <c r="J35" t="s">
        <v>37</v>
      </c>
    </row>
    <row r="36" spans="1:10" x14ac:dyDescent="0.3">
      <c r="A36" t="s">
        <v>105</v>
      </c>
      <c r="B36">
        <v>41</v>
      </c>
      <c r="C36" t="s">
        <v>1318</v>
      </c>
      <c r="D36" s="1" t="s">
        <v>1460</v>
      </c>
      <c r="E36" s="2" t="s">
        <v>931</v>
      </c>
      <c r="F36" t="s">
        <v>1547</v>
      </c>
      <c r="G36" t="s">
        <v>1548</v>
      </c>
      <c r="H36" t="s">
        <v>32</v>
      </c>
      <c r="I36" t="s">
        <v>14</v>
      </c>
      <c r="J36" t="s">
        <v>14</v>
      </c>
    </row>
    <row r="37" spans="1:10" x14ac:dyDescent="0.3">
      <c r="A37" t="s">
        <v>107</v>
      </c>
      <c r="B37">
        <v>31</v>
      </c>
      <c r="C37" t="s">
        <v>1549</v>
      </c>
      <c r="D37" s="1" t="s">
        <v>538</v>
      </c>
      <c r="E37" s="2" t="s">
        <v>1020</v>
      </c>
      <c r="F37" t="s">
        <v>1550</v>
      </c>
      <c r="G37" t="s">
        <v>1551</v>
      </c>
      <c r="H37" t="s">
        <v>26</v>
      </c>
      <c r="I37" t="s">
        <v>37</v>
      </c>
      <c r="J37" t="s">
        <v>37</v>
      </c>
    </row>
    <row r="38" spans="1:10" x14ac:dyDescent="0.3">
      <c r="A38" t="s">
        <v>108</v>
      </c>
      <c r="B38">
        <v>60</v>
      </c>
      <c r="C38" t="s">
        <v>1552</v>
      </c>
      <c r="D38" s="1" t="s">
        <v>648</v>
      </c>
      <c r="E38" s="2" t="s">
        <v>725</v>
      </c>
      <c r="F38" t="s">
        <v>1553</v>
      </c>
      <c r="G38" t="s">
        <v>1554</v>
      </c>
      <c r="H38" t="s">
        <v>32</v>
      </c>
      <c r="I38" t="s">
        <v>14</v>
      </c>
      <c r="J38" t="s">
        <v>14</v>
      </c>
    </row>
    <row r="39" spans="1:10" x14ac:dyDescent="0.3">
      <c r="A39" t="s">
        <v>110</v>
      </c>
      <c r="B39">
        <v>37</v>
      </c>
      <c r="C39" t="s">
        <v>1555</v>
      </c>
      <c r="D39" s="1" t="s">
        <v>1425</v>
      </c>
      <c r="E39" s="2" t="s">
        <v>1234</v>
      </c>
      <c r="F39" t="s">
        <v>1556</v>
      </c>
      <c r="G39" t="s">
        <v>1485</v>
      </c>
      <c r="H39" t="s">
        <v>26</v>
      </c>
      <c r="I39" t="s">
        <v>37</v>
      </c>
      <c r="J39" t="s">
        <v>14</v>
      </c>
    </row>
    <row r="40" spans="1:10" x14ac:dyDescent="0.3">
      <c r="A40" t="s">
        <v>111</v>
      </c>
      <c r="B40">
        <v>56</v>
      </c>
      <c r="C40" t="s">
        <v>588</v>
      </c>
      <c r="D40" s="1" t="s">
        <v>417</v>
      </c>
      <c r="E40" s="2" t="s">
        <v>1030</v>
      </c>
      <c r="F40" t="s">
        <v>1557</v>
      </c>
      <c r="G40" t="s">
        <v>1558</v>
      </c>
      <c r="H40" t="s">
        <v>26</v>
      </c>
      <c r="I40" t="s">
        <v>37</v>
      </c>
      <c r="J40" t="s">
        <v>37</v>
      </c>
    </row>
    <row r="41" spans="1:10" x14ac:dyDescent="0.3">
      <c r="A41" t="s">
        <v>112</v>
      </c>
      <c r="B41">
        <v>69</v>
      </c>
      <c r="C41" t="s">
        <v>1559</v>
      </c>
      <c r="D41" s="1" t="s">
        <v>1362</v>
      </c>
      <c r="E41" s="2" t="s">
        <v>818</v>
      </c>
      <c r="F41" t="s">
        <v>1560</v>
      </c>
      <c r="G41" t="s">
        <v>1493</v>
      </c>
      <c r="H41" t="s">
        <v>26</v>
      </c>
      <c r="I41" t="s">
        <v>37</v>
      </c>
      <c r="J41" t="s">
        <v>14</v>
      </c>
    </row>
    <row r="42" spans="1:10" x14ac:dyDescent="0.3">
      <c r="A42" t="s">
        <v>114</v>
      </c>
      <c r="B42">
        <v>114</v>
      </c>
      <c r="C42" t="s">
        <v>1561</v>
      </c>
      <c r="D42" s="1" t="s">
        <v>1400</v>
      </c>
      <c r="E42" s="2" t="s">
        <v>1552</v>
      </c>
      <c r="F42" t="s">
        <v>1562</v>
      </c>
      <c r="G42" t="s">
        <v>1509</v>
      </c>
      <c r="H42" t="s">
        <v>26</v>
      </c>
      <c r="I42" t="s">
        <v>13</v>
      </c>
      <c r="J42" t="s">
        <v>13</v>
      </c>
    </row>
    <row r="43" spans="1:10" x14ac:dyDescent="0.3">
      <c r="A43" t="s">
        <v>115</v>
      </c>
      <c r="B43">
        <v>34</v>
      </c>
      <c r="C43" t="s">
        <v>1563</v>
      </c>
      <c r="D43" s="1" t="s">
        <v>1564</v>
      </c>
      <c r="E43" s="2" t="s">
        <v>433</v>
      </c>
      <c r="F43" t="s">
        <v>1565</v>
      </c>
      <c r="G43" t="s">
        <v>665</v>
      </c>
      <c r="H43" t="s">
        <v>32</v>
      </c>
      <c r="I43" t="s">
        <v>14</v>
      </c>
      <c r="J43" t="s">
        <v>37</v>
      </c>
    </row>
    <row r="44" spans="1:10" x14ac:dyDescent="0.3">
      <c r="A44" t="s">
        <v>117</v>
      </c>
      <c r="B44">
        <v>60</v>
      </c>
      <c r="C44" t="s">
        <v>1566</v>
      </c>
      <c r="D44" s="1" t="s">
        <v>675</v>
      </c>
      <c r="E44" s="2" t="s">
        <v>933</v>
      </c>
      <c r="F44" t="s">
        <v>1567</v>
      </c>
      <c r="G44" t="s">
        <v>1568</v>
      </c>
      <c r="H44" t="s">
        <v>26</v>
      </c>
      <c r="I44" t="s">
        <v>14</v>
      </c>
      <c r="J44" t="s">
        <v>37</v>
      </c>
    </row>
    <row r="45" spans="1:10" x14ac:dyDescent="0.3">
      <c r="A45" t="s">
        <v>118</v>
      </c>
      <c r="B45">
        <v>62</v>
      </c>
      <c r="C45" t="s">
        <v>1569</v>
      </c>
      <c r="D45" s="1" t="s">
        <v>333</v>
      </c>
      <c r="E45" s="2" t="s">
        <v>1570</v>
      </c>
      <c r="F45" t="s">
        <v>1571</v>
      </c>
      <c r="G45" t="s">
        <v>607</v>
      </c>
      <c r="H45" t="s">
        <v>15</v>
      </c>
      <c r="I45" t="s">
        <v>37</v>
      </c>
      <c r="J45" t="s">
        <v>37</v>
      </c>
    </row>
    <row r="46" spans="1:10" x14ac:dyDescent="0.3">
      <c r="A46" t="s">
        <v>120</v>
      </c>
      <c r="B46">
        <v>51</v>
      </c>
      <c r="C46" t="s">
        <v>715</v>
      </c>
      <c r="D46" s="1" t="s">
        <v>1572</v>
      </c>
      <c r="E46" s="2" t="s">
        <v>1174</v>
      </c>
      <c r="F46" t="s">
        <v>1573</v>
      </c>
      <c r="G46" t="s">
        <v>1574</v>
      </c>
      <c r="H46" t="s">
        <v>15</v>
      </c>
      <c r="I46" t="s">
        <v>14</v>
      </c>
      <c r="J46" t="s">
        <v>14</v>
      </c>
    </row>
    <row r="47" spans="1:10" x14ac:dyDescent="0.3">
      <c r="A47" t="s">
        <v>122</v>
      </c>
      <c r="B47">
        <v>31</v>
      </c>
      <c r="C47" t="s">
        <v>647</v>
      </c>
      <c r="D47" s="1" t="s">
        <v>1575</v>
      </c>
      <c r="E47" s="2" t="s">
        <v>1576</v>
      </c>
      <c r="F47" t="s">
        <v>1577</v>
      </c>
      <c r="G47" t="s">
        <v>1578</v>
      </c>
      <c r="H47" t="s">
        <v>12</v>
      </c>
      <c r="I47" t="s">
        <v>37</v>
      </c>
      <c r="J47" t="s">
        <v>13</v>
      </c>
    </row>
    <row r="48" spans="1:10" x14ac:dyDescent="0.3">
      <c r="A48" t="s">
        <v>125</v>
      </c>
      <c r="B48">
        <v>79</v>
      </c>
      <c r="C48" t="s">
        <v>566</v>
      </c>
      <c r="D48" s="1" t="s">
        <v>1575</v>
      </c>
      <c r="E48" s="2" t="s">
        <v>845</v>
      </c>
      <c r="F48" t="s">
        <v>1579</v>
      </c>
      <c r="G48" t="s">
        <v>776</v>
      </c>
      <c r="H48" t="s">
        <v>15</v>
      </c>
      <c r="I48" t="s">
        <v>37</v>
      </c>
      <c r="J48" t="s">
        <v>14</v>
      </c>
    </row>
    <row r="49" spans="1:10" x14ac:dyDescent="0.3">
      <c r="A49" t="s">
        <v>127</v>
      </c>
      <c r="B49">
        <v>61</v>
      </c>
      <c r="C49" t="s">
        <v>1580</v>
      </c>
      <c r="D49" s="1" t="s">
        <v>536</v>
      </c>
      <c r="E49" s="2" t="s">
        <v>1581</v>
      </c>
      <c r="F49" t="s">
        <v>1582</v>
      </c>
      <c r="G49" t="s">
        <v>1173</v>
      </c>
      <c r="H49" t="s">
        <v>12</v>
      </c>
      <c r="I49" t="s">
        <v>14</v>
      </c>
      <c r="J49" t="s">
        <v>14</v>
      </c>
    </row>
    <row r="50" spans="1:10" x14ac:dyDescent="0.3">
      <c r="A50" t="s">
        <v>128</v>
      </c>
      <c r="B50">
        <v>70</v>
      </c>
      <c r="C50" t="s">
        <v>1583</v>
      </c>
      <c r="D50" s="1" t="s">
        <v>323</v>
      </c>
      <c r="E50" s="2" t="s">
        <v>436</v>
      </c>
      <c r="F50" t="s">
        <v>1584</v>
      </c>
      <c r="G50" t="s">
        <v>940</v>
      </c>
      <c r="H50" t="s">
        <v>12</v>
      </c>
      <c r="I50" t="s">
        <v>13</v>
      </c>
      <c r="J50" t="s">
        <v>37</v>
      </c>
    </row>
    <row r="51" spans="1:10" x14ac:dyDescent="0.3">
      <c r="A51" t="s">
        <v>130</v>
      </c>
      <c r="B51">
        <v>25</v>
      </c>
      <c r="C51" t="s">
        <v>1585</v>
      </c>
      <c r="D51" s="1" t="s">
        <v>482</v>
      </c>
      <c r="E51" s="2" t="s">
        <v>1487</v>
      </c>
      <c r="F51" t="s">
        <v>955</v>
      </c>
      <c r="G51" t="s">
        <v>415</v>
      </c>
      <c r="H51" t="s">
        <v>12</v>
      </c>
      <c r="I51" t="s">
        <v>13</v>
      </c>
      <c r="J51" t="s">
        <v>14</v>
      </c>
    </row>
    <row r="52" spans="1:10" x14ac:dyDescent="0.3">
      <c r="A52" t="s">
        <v>132</v>
      </c>
      <c r="B52">
        <v>56</v>
      </c>
      <c r="C52" t="s">
        <v>956</v>
      </c>
      <c r="D52" s="1" t="s">
        <v>418</v>
      </c>
      <c r="E52" s="2" t="s">
        <v>1586</v>
      </c>
      <c r="F52" t="s">
        <v>1587</v>
      </c>
      <c r="G52" t="s">
        <v>1363</v>
      </c>
      <c r="H52" t="s">
        <v>26</v>
      </c>
      <c r="I52" t="s">
        <v>37</v>
      </c>
      <c r="J52" t="s">
        <v>37</v>
      </c>
    </row>
    <row r="53" spans="1:10" x14ac:dyDescent="0.3">
      <c r="A53" t="s">
        <v>134</v>
      </c>
      <c r="B53">
        <v>109</v>
      </c>
      <c r="C53" t="s">
        <v>1588</v>
      </c>
      <c r="D53" s="1" t="s">
        <v>1589</v>
      </c>
      <c r="E53" s="2" t="s">
        <v>1570</v>
      </c>
      <c r="F53" t="s">
        <v>1590</v>
      </c>
      <c r="G53" t="s">
        <v>1173</v>
      </c>
      <c r="H53" t="s">
        <v>32</v>
      </c>
      <c r="I53" t="s">
        <v>14</v>
      </c>
      <c r="J53" t="s">
        <v>13</v>
      </c>
    </row>
    <row r="54" spans="1:10" x14ac:dyDescent="0.3">
      <c r="A54" t="s">
        <v>135</v>
      </c>
      <c r="B54">
        <v>101</v>
      </c>
      <c r="C54" t="s">
        <v>1591</v>
      </c>
      <c r="D54" s="1" t="s">
        <v>415</v>
      </c>
      <c r="E54" s="2" t="s">
        <v>1189</v>
      </c>
      <c r="F54" t="s">
        <v>1592</v>
      </c>
      <c r="G54" t="s">
        <v>1593</v>
      </c>
      <c r="H54" t="s">
        <v>12</v>
      </c>
      <c r="I54" t="s">
        <v>13</v>
      </c>
      <c r="J54" t="s">
        <v>13</v>
      </c>
    </row>
    <row r="55" spans="1:10" x14ac:dyDescent="0.3">
      <c r="A55" t="s">
        <v>137</v>
      </c>
      <c r="B55">
        <v>96</v>
      </c>
      <c r="C55" t="s">
        <v>1594</v>
      </c>
      <c r="D55" s="1" t="s">
        <v>1511</v>
      </c>
      <c r="E55" s="2" t="s">
        <v>579</v>
      </c>
      <c r="F55" t="s">
        <v>1595</v>
      </c>
      <c r="G55" t="s">
        <v>1596</v>
      </c>
      <c r="H55" t="s">
        <v>32</v>
      </c>
      <c r="I55" t="s">
        <v>37</v>
      </c>
      <c r="J55" t="s">
        <v>13</v>
      </c>
    </row>
    <row r="56" spans="1:10" x14ac:dyDescent="0.3">
      <c r="A56" t="s">
        <v>138</v>
      </c>
      <c r="B56">
        <v>75</v>
      </c>
      <c r="C56" t="s">
        <v>1597</v>
      </c>
      <c r="D56" s="1" t="s">
        <v>663</v>
      </c>
      <c r="E56" s="2" t="s">
        <v>314</v>
      </c>
      <c r="F56" t="s">
        <v>527</v>
      </c>
      <c r="G56" t="s">
        <v>1598</v>
      </c>
      <c r="H56" t="s">
        <v>32</v>
      </c>
      <c r="I56" t="s">
        <v>14</v>
      </c>
      <c r="J56" t="s">
        <v>13</v>
      </c>
    </row>
    <row r="57" spans="1:10" x14ac:dyDescent="0.3">
      <c r="A57" t="s">
        <v>139</v>
      </c>
      <c r="B57">
        <v>29</v>
      </c>
      <c r="C57" t="s">
        <v>1599</v>
      </c>
      <c r="D57" s="1" t="s">
        <v>1600</v>
      </c>
      <c r="E57" s="2" t="s">
        <v>1330</v>
      </c>
      <c r="F57" t="s">
        <v>1601</v>
      </c>
      <c r="G57" t="s">
        <v>1510</v>
      </c>
      <c r="H57" t="s">
        <v>12</v>
      </c>
      <c r="I57" t="s">
        <v>14</v>
      </c>
      <c r="J57" t="s">
        <v>37</v>
      </c>
    </row>
    <row r="58" spans="1:10" x14ac:dyDescent="0.3">
      <c r="A58" t="s">
        <v>140</v>
      </c>
      <c r="B58">
        <v>98</v>
      </c>
      <c r="C58" t="s">
        <v>342</v>
      </c>
      <c r="D58" s="1" t="s">
        <v>1188</v>
      </c>
      <c r="E58" s="2" t="s">
        <v>363</v>
      </c>
      <c r="F58" t="s">
        <v>1602</v>
      </c>
      <c r="G58" t="s">
        <v>1603</v>
      </c>
      <c r="H58" t="s">
        <v>12</v>
      </c>
      <c r="I58" t="s">
        <v>13</v>
      </c>
      <c r="J58" t="s">
        <v>13</v>
      </c>
    </row>
    <row r="59" spans="1:10" x14ac:dyDescent="0.3">
      <c r="A59" t="s">
        <v>141</v>
      </c>
      <c r="B59">
        <v>93</v>
      </c>
      <c r="C59" t="s">
        <v>1604</v>
      </c>
      <c r="D59" s="1" t="s">
        <v>1561</v>
      </c>
      <c r="E59" s="2" t="s">
        <v>545</v>
      </c>
      <c r="F59" t="s">
        <v>1605</v>
      </c>
      <c r="G59" t="s">
        <v>482</v>
      </c>
      <c r="H59" t="s">
        <v>12</v>
      </c>
      <c r="I59" t="s">
        <v>37</v>
      </c>
      <c r="J59" t="s">
        <v>37</v>
      </c>
    </row>
    <row r="60" spans="1:10" x14ac:dyDescent="0.3">
      <c r="A60" t="s">
        <v>142</v>
      </c>
      <c r="B60">
        <v>90</v>
      </c>
      <c r="C60" t="s">
        <v>1606</v>
      </c>
      <c r="D60" s="1" t="s">
        <v>566</v>
      </c>
      <c r="E60" s="2" t="s">
        <v>1555</v>
      </c>
      <c r="F60" t="s">
        <v>1607</v>
      </c>
      <c r="G60" t="s">
        <v>1363</v>
      </c>
      <c r="H60" t="s">
        <v>32</v>
      </c>
      <c r="I60" t="s">
        <v>14</v>
      </c>
      <c r="J60" t="s">
        <v>13</v>
      </c>
    </row>
    <row r="61" spans="1:10" x14ac:dyDescent="0.3">
      <c r="A61" t="s">
        <v>143</v>
      </c>
      <c r="B61">
        <v>23</v>
      </c>
      <c r="C61" t="s">
        <v>284</v>
      </c>
      <c r="D61" s="1" t="s">
        <v>1608</v>
      </c>
      <c r="E61" s="2" t="s">
        <v>1020</v>
      </c>
      <c r="F61" t="s">
        <v>1609</v>
      </c>
      <c r="G61" t="s">
        <v>1610</v>
      </c>
      <c r="H61" t="s">
        <v>15</v>
      </c>
      <c r="I61" t="s">
        <v>14</v>
      </c>
      <c r="J61" t="s">
        <v>13</v>
      </c>
    </row>
    <row r="62" spans="1:10" x14ac:dyDescent="0.3">
      <c r="A62" t="s">
        <v>144</v>
      </c>
      <c r="B62">
        <v>84</v>
      </c>
      <c r="C62" t="s">
        <v>334</v>
      </c>
      <c r="D62" s="1" t="s">
        <v>776</v>
      </c>
      <c r="E62" s="2" t="s">
        <v>663</v>
      </c>
      <c r="F62" t="s">
        <v>1611</v>
      </c>
      <c r="G62" t="s">
        <v>1612</v>
      </c>
      <c r="H62" t="s">
        <v>12</v>
      </c>
      <c r="I62" t="s">
        <v>14</v>
      </c>
      <c r="J62" t="s">
        <v>37</v>
      </c>
    </row>
    <row r="63" spans="1:10" x14ac:dyDescent="0.3">
      <c r="A63" t="s">
        <v>145</v>
      </c>
      <c r="B63">
        <v>24</v>
      </c>
      <c r="C63" t="s">
        <v>1080</v>
      </c>
      <c r="D63" s="1" t="s">
        <v>334</v>
      </c>
      <c r="E63" s="2" t="s">
        <v>1143</v>
      </c>
      <c r="F63" t="s">
        <v>1613</v>
      </c>
      <c r="G63" t="s">
        <v>1614</v>
      </c>
      <c r="H63" t="s">
        <v>12</v>
      </c>
      <c r="I63" t="s">
        <v>13</v>
      </c>
      <c r="J63" t="s">
        <v>13</v>
      </c>
    </row>
    <row r="64" spans="1:10" x14ac:dyDescent="0.3">
      <c r="A64" t="s">
        <v>146</v>
      </c>
      <c r="B64">
        <v>54</v>
      </c>
      <c r="C64" t="s">
        <v>1615</v>
      </c>
      <c r="D64" s="1" t="s">
        <v>277</v>
      </c>
      <c r="E64" s="2" t="s">
        <v>323</v>
      </c>
      <c r="F64" t="s">
        <v>1616</v>
      </c>
      <c r="G64" t="s">
        <v>1617</v>
      </c>
      <c r="H64" t="s">
        <v>32</v>
      </c>
      <c r="I64" t="s">
        <v>37</v>
      </c>
      <c r="J64" t="s">
        <v>13</v>
      </c>
    </row>
    <row r="65" spans="1:10" x14ac:dyDescent="0.3">
      <c r="A65" t="s">
        <v>147</v>
      </c>
      <c r="B65">
        <v>107</v>
      </c>
      <c r="C65" t="s">
        <v>1566</v>
      </c>
      <c r="D65" s="1" t="s">
        <v>896</v>
      </c>
      <c r="E65" s="2" t="s">
        <v>725</v>
      </c>
      <c r="F65" t="s">
        <v>1618</v>
      </c>
      <c r="G65" t="s">
        <v>1619</v>
      </c>
      <c r="H65" t="s">
        <v>26</v>
      </c>
      <c r="I65" t="s">
        <v>14</v>
      </c>
      <c r="J65" t="s">
        <v>14</v>
      </c>
    </row>
    <row r="66" spans="1:10" x14ac:dyDescent="0.3">
      <c r="A66" t="s">
        <v>148</v>
      </c>
      <c r="B66">
        <v>76</v>
      </c>
      <c r="C66" t="s">
        <v>1620</v>
      </c>
      <c r="D66" s="1" t="s">
        <v>1518</v>
      </c>
      <c r="E66" s="2" t="s">
        <v>276</v>
      </c>
      <c r="F66" t="s">
        <v>1621</v>
      </c>
      <c r="G66" t="s">
        <v>1556</v>
      </c>
      <c r="H66" t="s">
        <v>15</v>
      </c>
      <c r="I66" t="s">
        <v>13</v>
      </c>
      <c r="J66" t="s">
        <v>13</v>
      </c>
    </row>
    <row r="67" spans="1:10" x14ac:dyDescent="0.3">
      <c r="A67" t="s">
        <v>150</v>
      </c>
      <c r="B67">
        <v>31</v>
      </c>
      <c r="C67" t="s">
        <v>1622</v>
      </c>
      <c r="D67" s="1" t="s">
        <v>1251</v>
      </c>
      <c r="E67" s="2" t="s">
        <v>1623</v>
      </c>
      <c r="F67" t="s">
        <v>1624</v>
      </c>
      <c r="G67" t="s">
        <v>742</v>
      </c>
      <c r="H67" t="s">
        <v>15</v>
      </c>
      <c r="I67" t="s">
        <v>37</v>
      </c>
      <c r="J67" t="s">
        <v>14</v>
      </c>
    </row>
    <row r="68" spans="1:10" x14ac:dyDescent="0.3">
      <c r="A68" t="s">
        <v>152</v>
      </c>
      <c r="B68">
        <v>23</v>
      </c>
      <c r="C68" t="s">
        <v>1527</v>
      </c>
      <c r="D68" s="1" t="s">
        <v>1463</v>
      </c>
      <c r="E68" s="2" t="s">
        <v>498</v>
      </c>
      <c r="F68" t="s">
        <v>1335</v>
      </c>
      <c r="G68" t="s">
        <v>890</v>
      </c>
      <c r="H68" t="s">
        <v>12</v>
      </c>
      <c r="I68" t="s">
        <v>14</v>
      </c>
      <c r="J68" t="s">
        <v>14</v>
      </c>
    </row>
    <row r="69" spans="1:10" x14ac:dyDescent="0.3">
      <c r="A69" t="s">
        <v>153</v>
      </c>
      <c r="B69">
        <v>107</v>
      </c>
      <c r="C69" t="s">
        <v>326</v>
      </c>
      <c r="D69" s="1" t="s">
        <v>1625</v>
      </c>
      <c r="E69" s="2" t="s">
        <v>1188</v>
      </c>
      <c r="F69" t="s">
        <v>1601</v>
      </c>
      <c r="G69" t="s">
        <v>1626</v>
      </c>
      <c r="H69" t="s">
        <v>32</v>
      </c>
      <c r="I69" t="s">
        <v>37</v>
      </c>
      <c r="J69" t="s">
        <v>13</v>
      </c>
    </row>
    <row r="70" spans="1:10" x14ac:dyDescent="0.3">
      <c r="A70" t="s">
        <v>154</v>
      </c>
      <c r="B70">
        <v>78</v>
      </c>
      <c r="C70" t="s">
        <v>1627</v>
      </c>
      <c r="D70" s="1" t="s">
        <v>1518</v>
      </c>
      <c r="E70" s="2" t="s">
        <v>982</v>
      </c>
      <c r="F70" t="s">
        <v>1628</v>
      </c>
      <c r="G70" t="s">
        <v>1629</v>
      </c>
      <c r="H70" t="s">
        <v>32</v>
      </c>
      <c r="I70" t="s">
        <v>13</v>
      </c>
      <c r="J70" t="s">
        <v>13</v>
      </c>
    </row>
    <row r="71" spans="1:10" x14ac:dyDescent="0.3">
      <c r="A71" t="s">
        <v>155</v>
      </c>
      <c r="B71">
        <v>66</v>
      </c>
      <c r="C71" t="s">
        <v>1006</v>
      </c>
      <c r="D71" s="1" t="s">
        <v>1276</v>
      </c>
      <c r="E71" s="2" t="s">
        <v>1143</v>
      </c>
      <c r="F71" t="s">
        <v>907</v>
      </c>
      <c r="G71" t="s">
        <v>827</v>
      </c>
      <c r="H71" t="s">
        <v>12</v>
      </c>
      <c r="I71" t="s">
        <v>37</v>
      </c>
      <c r="J71" t="s">
        <v>13</v>
      </c>
    </row>
    <row r="72" spans="1:10" x14ac:dyDescent="0.3">
      <c r="A72" t="s">
        <v>157</v>
      </c>
      <c r="B72">
        <v>97</v>
      </c>
      <c r="C72" t="s">
        <v>344</v>
      </c>
      <c r="D72" s="1" t="s">
        <v>267</v>
      </c>
      <c r="E72" s="2" t="s">
        <v>1463</v>
      </c>
      <c r="F72" t="s">
        <v>1630</v>
      </c>
      <c r="G72" t="s">
        <v>1631</v>
      </c>
      <c r="H72" t="s">
        <v>26</v>
      </c>
      <c r="I72" t="s">
        <v>37</v>
      </c>
      <c r="J72" t="s">
        <v>37</v>
      </c>
    </row>
    <row r="73" spans="1:10" x14ac:dyDescent="0.3">
      <c r="A73" t="s">
        <v>158</v>
      </c>
      <c r="B73">
        <v>73</v>
      </c>
      <c r="C73" t="s">
        <v>1632</v>
      </c>
      <c r="D73" s="1" t="s">
        <v>1633</v>
      </c>
      <c r="E73" s="2" t="s">
        <v>1634</v>
      </c>
      <c r="F73" t="s">
        <v>1635</v>
      </c>
      <c r="G73" t="s">
        <v>501</v>
      </c>
      <c r="H73" t="s">
        <v>26</v>
      </c>
      <c r="I73" t="s">
        <v>14</v>
      </c>
      <c r="J73" t="s">
        <v>37</v>
      </c>
    </row>
    <row r="74" spans="1:10" x14ac:dyDescent="0.3">
      <c r="A74" t="s">
        <v>160</v>
      </c>
      <c r="B74">
        <v>31</v>
      </c>
      <c r="C74" t="s">
        <v>1636</v>
      </c>
      <c r="D74" s="1" t="s">
        <v>1210</v>
      </c>
      <c r="E74" s="2" t="s">
        <v>1201</v>
      </c>
      <c r="F74" t="s">
        <v>1290</v>
      </c>
      <c r="G74" t="s">
        <v>630</v>
      </c>
      <c r="H74" t="s">
        <v>26</v>
      </c>
      <c r="I74" t="s">
        <v>14</v>
      </c>
      <c r="J74" t="s">
        <v>37</v>
      </c>
    </row>
    <row r="75" spans="1:10" x14ac:dyDescent="0.3">
      <c r="A75" t="s">
        <v>161</v>
      </c>
      <c r="B75">
        <v>58</v>
      </c>
      <c r="C75" t="s">
        <v>982</v>
      </c>
      <c r="D75" s="1" t="s">
        <v>1162</v>
      </c>
      <c r="E75" s="2" t="s">
        <v>1347</v>
      </c>
      <c r="F75" t="s">
        <v>1637</v>
      </c>
      <c r="G75" t="s">
        <v>1513</v>
      </c>
      <c r="H75" t="s">
        <v>32</v>
      </c>
      <c r="I75" t="s">
        <v>14</v>
      </c>
      <c r="J75" t="s">
        <v>14</v>
      </c>
    </row>
    <row r="76" spans="1:10" x14ac:dyDescent="0.3">
      <c r="A76" t="s">
        <v>162</v>
      </c>
      <c r="B76">
        <v>120</v>
      </c>
      <c r="C76" t="s">
        <v>1612</v>
      </c>
      <c r="D76" s="1" t="s">
        <v>908</v>
      </c>
      <c r="E76" s="2" t="s">
        <v>325</v>
      </c>
      <c r="F76" t="s">
        <v>1638</v>
      </c>
      <c r="G76" t="s">
        <v>1639</v>
      </c>
      <c r="H76" t="s">
        <v>15</v>
      </c>
      <c r="I76" t="s">
        <v>13</v>
      </c>
      <c r="J76" t="s">
        <v>13</v>
      </c>
    </row>
    <row r="77" spans="1:10" x14ac:dyDescent="0.3">
      <c r="A77" t="s">
        <v>163</v>
      </c>
      <c r="B77">
        <v>82</v>
      </c>
      <c r="C77" t="s">
        <v>1640</v>
      </c>
      <c r="D77" s="1" t="s">
        <v>808</v>
      </c>
      <c r="E77" s="2" t="s">
        <v>381</v>
      </c>
      <c r="F77" t="s">
        <v>1641</v>
      </c>
      <c r="G77" t="s">
        <v>1642</v>
      </c>
      <c r="H77" t="s">
        <v>32</v>
      </c>
      <c r="I77" t="s">
        <v>37</v>
      </c>
      <c r="J77" t="s">
        <v>37</v>
      </c>
    </row>
    <row r="78" spans="1:10" x14ac:dyDescent="0.3">
      <c r="A78" t="s">
        <v>164</v>
      </c>
      <c r="B78">
        <v>34</v>
      </c>
      <c r="C78" t="s">
        <v>1643</v>
      </c>
      <c r="D78" s="1" t="s">
        <v>861</v>
      </c>
      <c r="E78" s="2" t="s">
        <v>1466</v>
      </c>
      <c r="F78" t="s">
        <v>1644</v>
      </c>
      <c r="G78" t="s">
        <v>1645</v>
      </c>
      <c r="H78" t="s">
        <v>32</v>
      </c>
      <c r="I78" t="s">
        <v>13</v>
      </c>
      <c r="J78" t="s">
        <v>13</v>
      </c>
    </row>
    <row r="79" spans="1:10" x14ac:dyDescent="0.3">
      <c r="A79" t="s">
        <v>165</v>
      </c>
      <c r="B79">
        <v>47</v>
      </c>
      <c r="C79" t="s">
        <v>1642</v>
      </c>
      <c r="D79" s="1" t="s">
        <v>1155</v>
      </c>
      <c r="E79" s="2" t="s">
        <v>528</v>
      </c>
      <c r="F79" t="s">
        <v>1646</v>
      </c>
      <c r="G79" t="s">
        <v>1647</v>
      </c>
      <c r="H79" t="s">
        <v>12</v>
      </c>
      <c r="I79" t="s">
        <v>37</v>
      </c>
      <c r="J79" t="s">
        <v>13</v>
      </c>
    </row>
    <row r="80" spans="1:10" x14ac:dyDescent="0.3">
      <c r="A80" t="s">
        <v>166</v>
      </c>
      <c r="B80">
        <v>104</v>
      </c>
      <c r="C80" t="s">
        <v>1468</v>
      </c>
      <c r="D80" s="1" t="s">
        <v>1545</v>
      </c>
      <c r="E80" s="2" t="s">
        <v>1234</v>
      </c>
      <c r="F80" t="s">
        <v>1648</v>
      </c>
      <c r="G80" t="s">
        <v>1649</v>
      </c>
      <c r="H80" t="s">
        <v>32</v>
      </c>
      <c r="I80" t="s">
        <v>13</v>
      </c>
      <c r="J80" t="s">
        <v>37</v>
      </c>
    </row>
    <row r="81" spans="1:10" x14ac:dyDescent="0.3">
      <c r="A81" t="s">
        <v>167</v>
      </c>
      <c r="B81">
        <v>63</v>
      </c>
      <c r="C81" t="s">
        <v>1650</v>
      </c>
      <c r="D81" s="1" t="s">
        <v>557</v>
      </c>
      <c r="E81" s="2" t="s">
        <v>1651</v>
      </c>
      <c r="F81" t="s">
        <v>1652</v>
      </c>
      <c r="G81" t="s">
        <v>1649</v>
      </c>
      <c r="H81" t="s">
        <v>12</v>
      </c>
      <c r="I81" t="s">
        <v>37</v>
      </c>
      <c r="J81" t="s">
        <v>13</v>
      </c>
    </row>
    <row r="82" spans="1:10" x14ac:dyDescent="0.3">
      <c r="A82" t="s">
        <v>168</v>
      </c>
      <c r="B82">
        <v>62</v>
      </c>
      <c r="C82" t="s">
        <v>1653</v>
      </c>
      <c r="D82" s="1" t="s">
        <v>406</v>
      </c>
      <c r="E82" s="2" t="s">
        <v>1654</v>
      </c>
      <c r="F82" t="s">
        <v>1655</v>
      </c>
      <c r="G82" t="s">
        <v>1406</v>
      </c>
      <c r="H82" t="s">
        <v>32</v>
      </c>
      <c r="I82" t="s">
        <v>37</v>
      </c>
      <c r="J82" t="s">
        <v>13</v>
      </c>
    </row>
    <row r="83" spans="1:10" x14ac:dyDescent="0.3">
      <c r="A83" t="s">
        <v>170</v>
      </c>
      <c r="B83">
        <v>116</v>
      </c>
      <c r="C83" t="s">
        <v>1523</v>
      </c>
      <c r="D83" s="1" t="s">
        <v>1656</v>
      </c>
      <c r="E83" s="2" t="s">
        <v>851</v>
      </c>
      <c r="F83" t="s">
        <v>1657</v>
      </c>
      <c r="G83" t="s">
        <v>1658</v>
      </c>
      <c r="H83" t="s">
        <v>12</v>
      </c>
      <c r="I83" t="s">
        <v>37</v>
      </c>
      <c r="J83" t="s">
        <v>13</v>
      </c>
    </row>
    <row r="84" spans="1:10" x14ac:dyDescent="0.3">
      <c r="A84" t="s">
        <v>171</v>
      </c>
      <c r="B84">
        <v>71</v>
      </c>
      <c r="C84" t="s">
        <v>1453</v>
      </c>
      <c r="D84" s="1" t="s">
        <v>1636</v>
      </c>
      <c r="E84" s="2" t="s">
        <v>768</v>
      </c>
      <c r="F84" t="s">
        <v>1659</v>
      </c>
      <c r="G84" t="s">
        <v>1453</v>
      </c>
      <c r="H84" t="s">
        <v>15</v>
      </c>
      <c r="I84" t="s">
        <v>14</v>
      </c>
      <c r="J84" t="s">
        <v>37</v>
      </c>
    </row>
    <row r="85" spans="1:10" x14ac:dyDescent="0.3">
      <c r="A85" t="s">
        <v>173</v>
      </c>
      <c r="B85">
        <v>115</v>
      </c>
      <c r="C85" t="s">
        <v>418</v>
      </c>
      <c r="D85" s="1" t="s">
        <v>1047</v>
      </c>
      <c r="E85" s="2" t="s">
        <v>811</v>
      </c>
      <c r="F85" t="s">
        <v>1660</v>
      </c>
      <c r="G85" t="s">
        <v>1330</v>
      </c>
      <c r="H85" t="s">
        <v>15</v>
      </c>
      <c r="I85" t="s">
        <v>13</v>
      </c>
      <c r="J85" t="s">
        <v>13</v>
      </c>
    </row>
    <row r="86" spans="1:10" x14ac:dyDescent="0.3">
      <c r="A86" t="s">
        <v>174</v>
      </c>
      <c r="B86">
        <v>84</v>
      </c>
      <c r="C86" t="s">
        <v>284</v>
      </c>
      <c r="D86" s="1" t="s">
        <v>1661</v>
      </c>
      <c r="E86" s="2" t="s">
        <v>1662</v>
      </c>
      <c r="F86" t="s">
        <v>1663</v>
      </c>
      <c r="G86" t="s">
        <v>1664</v>
      </c>
      <c r="H86" t="s">
        <v>26</v>
      </c>
      <c r="I86" t="s">
        <v>13</v>
      </c>
      <c r="J86" t="s">
        <v>14</v>
      </c>
    </row>
    <row r="87" spans="1:10" x14ac:dyDescent="0.3">
      <c r="A87" t="s">
        <v>175</v>
      </c>
      <c r="B87">
        <v>115</v>
      </c>
      <c r="C87" t="s">
        <v>1433</v>
      </c>
      <c r="D87" s="1" t="s">
        <v>1665</v>
      </c>
      <c r="E87" s="2" t="s">
        <v>1666</v>
      </c>
      <c r="F87" t="s">
        <v>1667</v>
      </c>
      <c r="G87" t="s">
        <v>1668</v>
      </c>
      <c r="H87" t="s">
        <v>26</v>
      </c>
      <c r="I87" t="s">
        <v>14</v>
      </c>
      <c r="J87" t="s">
        <v>13</v>
      </c>
    </row>
    <row r="88" spans="1:10" x14ac:dyDescent="0.3">
      <c r="A88" t="s">
        <v>176</v>
      </c>
      <c r="B88">
        <v>90</v>
      </c>
      <c r="C88" t="s">
        <v>1669</v>
      </c>
      <c r="D88" s="1" t="s">
        <v>266</v>
      </c>
      <c r="E88" s="2" t="s">
        <v>1670</v>
      </c>
      <c r="F88" t="s">
        <v>1671</v>
      </c>
      <c r="G88" t="s">
        <v>1672</v>
      </c>
      <c r="H88" t="s">
        <v>15</v>
      </c>
      <c r="I88" t="s">
        <v>14</v>
      </c>
      <c r="J88" t="s">
        <v>14</v>
      </c>
    </row>
    <row r="89" spans="1:10" x14ac:dyDescent="0.3">
      <c r="A89" t="s">
        <v>177</v>
      </c>
      <c r="B89">
        <v>78</v>
      </c>
      <c r="C89" t="s">
        <v>1673</v>
      </c>
      <c r="D89" s="1" t="s">
        <v>1350</v>
      </c>
      <c r="E89" s="2" t="s">
        <v>1311</v>
      </c>
      <c r="F89" t="s">
        <v>1674</v>
      </c>
      <c r="G89" t="s">
        <v>1538</v>
      </c>
      <c r="H89" t="s">
        <v>32</v>
      </c>
      <c r="I89" t="s">
        <v>14</v>
      </c>
      <c r="J89" t="s">
        <v>37</v>
      </c>
    </row>
    <row r="90" spans="1:10" x14ac:dyDescent="0.3">
      <c r="A90" t="s">
        <v>178</v>
      </c>
      <c r="B90">
        <v>115</v>
      </c>
      <c r="C90" t="s">
        <v>1675</v>
      </c>
      <c r="D90" s="1" t="s">
        <v>1463</v>
      </c>
      <c r="E90" s="2" t="s">
        <v>364</v>
      </c>
      <c r="F90" t="s">
        <v>1676</v>
      </c>
      <c r="G90" t="s">
        <v>1677</v>
      </c>
      <c r="H90" t="s">
        <v>15</v>
      </c>
      <c r="I90" t="s">
        <v>13</v>
      </c>
      <c r="J90" t="s">
        <v>14</v>
      </c>
    </row>
    <row r="91" spans="1:10" x14ac:dyDescent="0.3">
      <c r="A91" t="s">
        <v>181</v>
      </c>
      <c r="B91">
        <v>31</v>
      </c>
      <c r="C91" t="s">
        <v>1661</v>
      </c>
      <c r="D91" s="1" t="s">
        <v>617</v>
      </c>
      <c r="E91" s="2" t="s">
        <v>491</v>
      </c>
      <c r="F91" t="s">
        <v>1678</v>
      </c>
      <c r="G91" t="s">
        <v>1679</v>
      </c>
      <c r="H91" t="s">
        <v>32</v>
      </c>
      <c r="I91" t="s">
        <v>14</v>
      </c>
      <c r="J91" t="s">
        <v>13</v>
      </c>
    </row>
    <row r="92" spans="1:10" x14ac:dyDescent="0.3">
      <c r="A92" t="s">
        <v>182</v>
      </c>
      <c r="B92">
        <v>100</v>
      </c>
      <c r="C92" t="s">
        <v>926</v>
      </c>
      <c r="D92" s="1" t="s">
        <v>1136</v>
      </c>
      <c r="E92" s="2" t="s">
        <v>1113</v>
      </c>
      <c r="F92" t="s">
        <v>1680</v>
      </c>
      <c r="G92" t="s">
        <v>1665</v>
      </c>
      <c r="H92" t="s">
        <v>32</v>
      </c>
      <c r="I92" t="s">
        <v>14</v>
      </c>
      <c r="J92" t="s">
        <v>37</v>
      </c>
    </row>
    <row r="93" spans="1:10" x14ac:dyDescent="0.3">
      <c r="A93" t="s">
        <v>183</v>
      </c>
      <c r="B93">
        <v>31</v>
      </c>
      <c r="C93" t="s">
        <v>1681</v>
      </c>
      <c r="D93" s="1" t="s">
        <v>1136</v>
      </c>
      <c r="E93" s="2" t="s">
        <v>1037</v>
      </c>
      <c r="F93" t="s">
        <v>1682</v>
      </c>
      <c r="G93" t="s">
        <v>1683</v>
      </c>
      <c r="H93" t="s">
        <v>26</v>
      </c>
      <c r="I93" t="s">
        <v>13</v>
      </c>
      <c r="J93" t="s">
        <v>14</v>
      </c>
    </row>
    <row r="94" spans="1:10" x14ac:dyDescent="0.3">
      <c r="A94" t="s">
        <v>184</v>
      </c>
      <c r="B94">
        <v>66</v>
      </c>
      <c r="C94" t="s">
        <v>1610</v>
      </c>
      <c r="D94" s="1" t="s">
        <v>1171</v>
      </c>
      <c r="E94" s="2" t="s">
        <v>954</v>
      </c>
      <c r="F94" t="s">
        <v>1517</v>
      </c>
      <c r="G94" t="s">
        <v>1612</v>
      </c>
      <c r="H94" t="s">
        <v>32</v>
      </c>
      <c r="I94" t="s">
        <v>37</v>
      </c>
      <c r="J94" t="s">
        <v>37</v>
      </c>
    </row>
    <row r="95" spans="1:10" x14ac:dyDescent="0.3">
      <c r="A95" t="s">
        <v>185</v>
      </c>
      <c r="B95">
        <v>104</v>
      </c>
      <c r="C95" t="s">
        <v>1641</v>
      </c>
      <c r="D95" s="1" t="s">
        <v>1536</v>
      </c>
      <c r="E95" s="2" t="s">
        <v>786</v>
      </c>
      <c r="F95" t="s">
        <v>1684</v>
      </c>
      <c r="G95" t="s">
        <v>1685</v>
      </c>
      <c r="H95" t="s">
        <v>15</v>
      </c>
      <c r="I95" t="s">
        <v>37</v>
      </c>
      <c r="J95" t="s">
        <v>14</v>
      </c>
    </row>
    <row r="96" spans="1:10" x14ac:dyDescent="0.3">
      <c r="A96" t="s">
        <v>186</v>
      </c>
      <c r="B96">
        <v>36</v>
      </c>
      <c r="C96" t="s">
        <v>608</v>
      </c>
      <c r="D96" s="1" t="s">
        <v>1059</v>
      </c>
      <c r="E96" s="2" t="s">
        <v>1593</v>
      </c>
      <c r="F96" t="s">
        <v>1686</v>
      </c>
      <c r="G96" t="s">
        <v>701</v>
      </c>
      <c r="H96" t="s">
        <v>12</v>
      </c>
      <c r="I96" t="s">
        <v>37</v>
      </c>
      <c r="J96" t="s">
        <v>14</v>
      </c>
    </row>
    <row r="97" spans="1:10" x14ac:dyDescent="0.3">
      <c r="A97" t="s">
        <v>187</v>
      </c>
      <c r="B97">
        <v>104</v>
      </c>
      <c r="C97" t="s">
        <v>750</v>
      </c>
      <c r="D97" s="1" t="s">
        <v>1687</v>
      </c>
      <c r="E97" s="2" t="s">
        <v>1625</v>
      </c>
      <c r="F97" t="s">
        <v>1688</v>
      </c>
      <c r="G97" t="s">
        <v>480</v>
      </c>
      <c r="H97" t="s">
        <v>32</v>
      </c>
      <c r="I97" t="s">
        <v>37</v>
      </c>
      <c r="J97" t="s">
        <v>13</v>
      </c>
    </row>
    <row r="98" spans="1:10" x14ac:dyDescent="0.3">
      <c r="A98" t="s">
        <v>188</v>
      </c>
      <c r="B98">
        <v>39</v>
      </c>
      <c r="C98" t="s">
        <v>1234</v>
      </c>
      <c r="D98" s="1" t="s">
        <v>767</v>
      </c>
      <c r="E98" s="2" t="s">
        <v>728</v>
      </c>
      <c r="F98" t="s">
        <v>1689</v>
      </c>
      <c r="G98" t="s">
        <v>838</v>
      </c>
      <c r="H98" t="s">
        <v>26</v>
      </c>
      <c r="I98" t="s">
        <v>13</v>
      </c>
      <c r="J98" t="s">
        <v>14</v>
      </c>
    </row>
    <row r="99" spans="1:10" x14ac:dyDescent="0.3">
      <c r="A99" t="s">
        <v>190</v>
      </c>
      <c r="B99">
        <v>21</v>
      </c>
      <c r="C99" t="s">
        <v>1690</v>
      </c>
      <c r="D99" s="1" t="s">
        <v>1691</v>
      </c>
      <c r="E99" s="2" t="s">
        <v>808</v>
      </c>
      <c r="F99" t="s">
        <v>1692</v>
      </c>
      <c r="G99" t="s">
        <v>965</v>
      </c>
      <c r="H99" t="s">
        <v>15</v>
      </c>
      <c r="I99" t="s">
        <v>14</v>
      </c>
      <c r="J99" t="s">
        <v>14</v>
      </c>
    </row>
    <row r="100" spans="1:10" x14ac:dyDescent="0.3">
      <c r="A100" t="s">
        <v>191</v>
      </c>
      <c r="B100">
        <v>107</v>
      </c>
      <c r="C100" t="s">
        <v>442</v>
      </c>
      <c r="D100" s="1" t="s">
        <v>1289</v>
      </c>
      <c r="E100" s="2" t="s">
        <v>861</v>
      </c>
      <c r="F100" t="s">
        <v>1693</v>
      </c>
      <c r="G100" t="s">
        <v>810</v>
      </c>
      <c r="H100" t="s">
        <v>26</v>
      </c>
      <c r="I100" t="s">
        <v>37</v>
      </c>
      <c r="J100" t="s">
        <v>13</v>
      </c>
    </row>
    <row r="101" spans="1:10" x14ac:dyDescent="0.3">
      <c r="A101" t="s">
        <v>192</v>
      </c>
      <c r="B101">
        <v>108</v>
      </c>
      <c r="C101" t="s">
        <v>1694</v>
      </c>
      <c r="D101" s="1" t="s">
        <v>663</v>
      </c>
      <c r="E101" s="2" t="s">
        <v>1695</v>
      </c>
      <c r="F101" t="s">
        <v>1696</v>
      </c>
      <c r="G101" t="s">
        <v>1697</v>
      </c>
      <c r="H101" t="s">
        <v>32</v>
      </c>
      <c r="I101" t="s">
        <v>37</v>
      </c>
      <c r="J101" t="s">
        <v>14</v>
      </c>
    </row>
    <row r="102" spans="1:10" x14ac:dyDescent="0.3">
      <c r="A102" t="s">
        <v>193</v>
      </c>
      <c r="B102">
        <v>63</v>
      </c>
      <c r="C102" t="s">
        <v>1698</v>
      </c>
      <c r="D102" s="1" t="s">
        <v>538</v>
      </c>
      <c r="E102" s="2" t="s">
        <v>982</v>
      </c>
      <c r="F102" t="s">
        <v>1699</v>
      </c>
      <c r="G102" t="s">
        <v>1700</v>
      </c>
      <c r="H102" t="s">
        <v>26</v>
      </c>
      <c r="I102" t="s">
        <v>13</v>
      </c>
      <c r="J102" t="s">
        <v>14</v>
      </c>
    </row>
    <row r="103" spans="1:10" x14ac:dyDescent="0.3">
      <c r="A103" t="s">
        <v>194</v>
      </c>
      <c r="B103">
        <v>35</v>
      </c>
      <c r="C103" t="s">
        <v>1576</v>
      </c>
      <c r="D103" s="1" t="s">
        <v>1194</v>
      </c>
      <c r="E103" s="2" t="s">
        <v>490</v>
      </c>
      <c r="F103" t="s">
        <v>1616</v>
      </c>
      <c r="G103" t="s">
        <v>995</v>
      </c>
      <c r="H103" t="s">
        <v>32</v>
      </c>
      <c r="I103" t="s">
        <v>37</v>
      </c>
      <c r="J103" t="s">
        <v>14</v>
      </c>
    </row>
    <row r="104" spans="1:10" x14ac:dyDescent="0.3">
      <c r="A104" t="s">
        <v>195</v>
      </c>
      <c r="B104">
        <v>111</v>
      </c>
      <c r="C104" t="s">
        <v>307</v>
      </c>
      <c r="D104" s="1" t="s">
        <v>657</v>
      </c>
      <c r="E104" s="2" t="s">
        <v>1701</v>
      </c>
      <c r="F104" t="s">
        <v>1702</v>
      </c>
      <c r="G104" t="s">
        <v>1559</v>
      </c>
      <c r="H104" t="s">
        <v>15</v>
      </c>
      <c r="I104" t="s">
        <v>37</v>
      </c>
      <c r="J104" t="s">
        <v>37</v>
      </c>
    </row>
    <row r="105" spans="1:10" x14ac:dyDescent="0.3">
      <c r="A105" t="s">
        <v>196</v>
      </c>
      <c r="B105">
        <v>67</v>
      </c>
      <c r="C105" t="s">
        <v>1703</v>
      </c>
      <c r="D105" s="1" t="s">
        <v>1704</v>
      </c>
      <c r="E105" s="2" t="s">
        <v>297</v>
      </c>
      <c r="F105" t="s">
        <v>1705</v>
      </c>
      <c r="G105" t="s">
        <v>1580</v>
      </c>
      <c r="H105" t="s">
        <v>26</v>
      </c>
      <c r="I105" t="s">
        <v>14</v>
      </c>
      <c r="J105" t="s">
        <v>14</v>
      </c>
    </row>
    <row r="106" spans="1:10" x14ac:dyDescent="0.3">
      <c r="A106" t="s">
        <v>197</v>
      </c>
      <c r="B106">
        <v>31</v>
      </c>
      <c r="C106" t="s">
        <v>1706</v>
      </c>
      <c r="D106" s="1" t="s">
        <v>1707</v>
      </c>
      <c r="E106" s="2" t="s">
        <v>1708</v>
      </c>
      <c r="F106" t="s">
        <v>1459</v>
      </c>
      <c r="G106" t="s">
        <v>1709</v>
      </c>
      <c r="H106" t="s">
        <v>32</v>
      </c>
      <c r="I106" t="s">
        <v>14</v>
      </c>
      <c r="J106" t="s">
        <v>13</v>
      </c>
    </row>
    <row r="107" spans="1:10" x14ac:dyDescent="0.3">
      <c r="A107" t="s">
        <v>198</v>
      </c>
      <c r="B107">
        <v>101</v>
      </c>
      <c r="C107" t="s">
        <v>585</v>
      </c>
      <c r="D107" s="1" t="s">
        <v>916</v>
      </c>
      <c r="E107" s="2" t="s">
        <v>808</v>
      </c>
      <c r="F107" t="s">
        <v>1710</v>
      </c>
      <c r="G107" t="s">
        <v>1501</v>
      </c>
      <c r="H107" t="s">
        <v>12</v>
      </c>
      <c r="I107" t="s">
        <v>14</v>
      </c>
      <c r="J107" t="s">
        <v>14</v>
      </c>
    </row>
    <row r="108" spans="1:10" x14ac:dyDescent="0.3">
      <c r="A108" t="s">
        <v>199</v>
      </c>
      <c r="B108">
        <v>77</v>
      </c>
      <c r="C108" t="s">
        <v>1711</v>
      </c>
      <c r="D108" s="1" t="s">
        <v>1082</v>
      </c>
      <c r="E108" s="2" t="s">
        <v>1362</v>
      </c>
      <c r="F108" t="s">
        <v>1712</v>
      </c>
      <c r="G108" t="s">
        <v>314</v>
      </c>
      <c r="H108" t="s">
        <v>32</v>
      </c>
      <c r="I108" t="s">
        <v>13</v>
      </c>
      <c r="J108" t="s">
        <v>13</v>
      </c>
    </row>
    <row r="109" spans="1:10" x14ac:dyDescent="0.3">
      <c r="A109" t="s">
        <v>200</v>
      </c>
      <c r="B109">
        <v>69</v>
      </c>
      <c r="C109" t="s">
        <v>1713</v>
      </c>
      <c r="D109" s="1" t="s">
        <v>1221</v>
      </c>
      <c r="E109" s="2" t="s">
        <v>1394</v>
      </c>
      <c r="F109" t="s">
        <v>882</v>
      </c>
      <c r="G109" t="s">
        <v>1714</v>
      </c>
      <c r="H109" t="s">
        <v>26</v>
      </c>
      <c r="I109" t="s">
        <v>14</v>
      </c>
      <c r="J109" t="s">
        <v>13</v>
      </c>
    </row>
    <row r="110" spans="1:10" x14ac:dyDescent="0.3">
      <c r="A110" t="s">
        <v>201</v>
      </c>
      <c r="B110">
        <v>44</v>
      </c>
      <c r="C110" t="s">
        <v>1715</v>
      </c>
      <c r="D110" s="1" t="s">
        <v>916</v>
      </c>
      <c r="E110" s="2" t="s">
        <v>1484</v>
      </c>
      <c r="F110" t="s">
        <v>1716</v>
      </c>
      <c r="G110" t="s">
        <v>587</v>
      </c>
      <c r="H110" t="s">
        <v>32</v>
      </c>
      <c r="I110" t="s">
        <v>13</v>
      </c>
      <c r="J110" t="s">
        <v>13</v>
      </c>
    </row>
    <row r="111" spans="1:10" x14ac:dyDescent="0.3">
      <c r="A111" t="s">
        <v>202</v>
      </c>
      <c r="B111">
        <v>35</v>
      </c>
      <c r="C111" t="s">
        <v>1717</v>
      </c>
      <c r="D111" s="1" t="s">
        <v>408</v>
      </c>
      <c r="E111" s="2" t="s">
        <v>1718</v>
      </c>
      <c r="F111" t="s">
        <v>1719</v>
      </c>
      <c r="G111" t="s">
        <v>1538</v>
      </c>
      <c r="H111" t="s">
        <v>26</v>
      </c>
      <c r="I111" t="s">
        <v>14</v>
      </c>
      <c r="J111" t="s">
        <v>37</v>
      </c>
    </row>
    <row r="112" spans="1:10" x14ac:dyDescent="0.3">
      <c r="A112" t="s">
        <v>203</v>
      </c>
      <c r="B112">
        <v>116</v>
      </c>
      <c r="C112" t="s">
        <v>1720</v>
      </c>
      <c r="D112" s="1" t="s">
        <v>1721</v>
      </c>
      <c r="E112" s="2" t="s">
        <v>1347</v>
      </c>
      <c r="F112" t="s">
        <v>1722</v>
      </c>
      <c r="G112" t="s">
        <v>498</v>
      </c>
      <c r="H112" t="s">
        <v>32</v>
      </c>
      <c r="I112" t="s">
        <v>14</v>
      </c>
      <c r="J112" t="s">
        <v>13</v>
      </c>
    </row>
    <row r="113" spans="1:10" x14ac:dyDescent="0.3">
      <c r="A113" t="s">
        <v>204</v>
      </c>
      <c r="B113">
        <v>71</v>
      </c>
      <c r="C113" t="s">
        <v>647</v>
      </c>
      <c r="D113" s="1" t="s">
        <v>657</v>
      </c>
      <c r="E113" s="2" t="s">
        <v>972</v>
      </c>
      <c r="F113" t="s">
        <v>1719</v>
      </c>
      <c r="G113" t="s">
        <v>1494</v>
      </c>
      <c r="H113" t="s">
        <v>32</v>
      </c>
      <c r="I113" t="s">
        <v>13</v>
      </c>
      <c r="J113" t="s">
        <v>37</v>
      </c>
    </row>
    <row r="114" spans="1:10" x14ac:dyDescent="0.3">
      <c r="A114" t="s">
        <v>205</v>
      </c>
      <c r="B114">
        <v>88</v>
      </c>
      <c r="C114" t="s">
        <v>1029</v>
      </c>
      <c r="D114" s="1" t="s">
        <v>1723</v>
      </c>
      <c r="E114" s="2" t="s">
        <v>1724</v>
      </c>
      <c r="F114" t="s">
        <v>1725</v>
      </c>
      <c r="G114" t="s">
        <v>1155</v>
      </c>
      <c r="H114" t="s">
        <v>32</v>
      </c>
      <c r="I114" t="s">
        <v>13</v>
      </c>
      <c r="J114" t="s">
        <v>37</v>
      </c>
    </row>
    <row r="115" spans="1:10" x14ac:dyDescent="0.3">
      <c r="A115" t="s">
        <v>207</v>
      </c>
      <c r="B115">
        <v>39</v>
      </c>
      <c r="C115" t="s">
        <v>1210</v>
      </c>
      <c r="D115" s="1" t="s">
        <v>464</v>
      </c>
      <c r="E115" s="2" t="s">
        <v>1136</v>
      </c>
      <c r="F115" t="s">
        <v>1726</v>
      </c>
      <c r="G115" t="s">
        <v>1727</v>
      </c>
      <c r="H115" t="s">
        <v>32</v>
      </c>
      <c r="I115" t="s">
        <v>13</v>
      </c>
      <c r="J115" t="s">
        <v>13</v>
      </c>
    </row>
    <row r="116" spans="1:10" x14ac:dyDescent="0.3">
      <c r="A116" t="s">
        <v>208</v>
      </c>
      <c r="B116">
        <v>103</v>
      </c>
      <c r="C116" t="s">
        <v>426</v>
      </c>
      <c r="D116" s="1" t="s">
        <v>793</v>
      </c>
      <c r="E116" s="2" t="s">
        <v>1482</v>
      </c>
      <c r="F116" t="s">
        <v>1503</v>
      </c>
      <c r="G116" t="s">
        <v>1513</v>
      </c>
      <c r="H116" t="s">
        <v>26</v>
      </c>
      <c r="I116" t="s">
        <v>14</v>
      </c>
      <c r="J116" t="s">
        <v>14</v>
      </c>
    </row>
    <row r="117" spans="1:10" x14ac:dyDescent="0.3">
      <c r="A117" t="s">
        <v>210</v>
      </c>
      <c r="B117">
        <v>23</v>
      </c>
      <c r="C117" t="s">
        <v>1728</v>
      </c>
      <c r="D117" s="1" t="s">
        <v>1724</v>
      </c>
      <c r="E117" s="2" t="s">
        <v>631</v>
      </c>
      <c r="F117" t="s">
        <v>1729</v>
      </c>
      <c r="G117" t="s">
        <v>1730</v>
      </c>
      <c r="H117" t="s">
        <v>32</v>
      </c>
      <c r="I117" t="s">
        <v>13</v>
      </c>
      <c r="J117" t="s">
        <v>14</v>
      </c>
    </row>
    <row r="118" spans="1:10" x14ac:dyDescent="0.3">
      <c r="A118" t="s">
        <v>211</v>
      </c>
      <c r="B118">
        <v>90</v>
      </c>
      <c r="C118" t="s">
        <v>1731</v>
      </c>
      <c r="D118" s="1" t="s">
        <v>861</v>
      </c>
      <c r="E118" s="2" t="s">
        <v>665</v>
      </c>
      <c r="F118" t="s">
        <v>1590</v>
      </c>
      <c r="G118" t="s">
        <v>707</v>
      </c>
      <c r="H118" t="s">
        <v>26</v>
      </c>
      <c r="I118" t="s">
        <v>13</v>
      </c>
      <c r="J118" t="s">
        <v>13</v>
      </c>
    </row>
    <row r="119" spans="1:10" x14ac:dyDescent="0.3">
      <c r="A119" t="s">
        <v>212</v>
      </c>
      <c r="B119">
        <v>40</v>
      </c>
      <c r="C119" t="s">
        <v>1732</v>
      </c>
      <c r="D119" s="1" t="s">
        <v>1733</v>
      </c>
      <c r="E119" s="2" t="s">
        <v>1734</v>
      </c>
      <c r="F119" t="s">
        <v>1483</v>
      </c>
      <c r="G119" t="s">
        <v>1578</v>
      </c>
      <c r="H119" t="s">
        <v>15</v>
      </c>
      <c r="I119" t="s">
        <v>14</v>
      </c>
      <c r="J119" t="s">
        <v>37</v>
      </c>
    </row>
    <row r="120" spans="1:10" x14ac:dyDescent="0.3">
      <c r="A120" t="s">
        <v>213</v>
      </c>
      <c r="B120">
        <v>27</v>
      </c>
      <c r="C120" t="s">
        <v>1735</v>
      </c>
      <c r="D120" s="1" t="s">
        <v>480</v>
      </c>
      <c r="E120" s="2" t="s">
        <v>631</v>
      </c>
      <c r="F120" t="s">
        <v>1736</v>
      </c>
      <c r="G120" t="s">
        <v>1737</v>
      </c>
      <c r="H120" t="s">
        <v>15</v>
      </c>
      <c r="I120" t="s">
        <v>37</v>
      </c>
      <c r="J120" t="s">
        <v>14</v>
      </c>
    </row>
    <row r="121" spans="1:10" x14ac:dyDescent="0.3">
      <c r="A121" t="s">
        <v>214</v>
      </c>
      <c r="B121">
        <v>73</v>
      </c>
      <c r="C121" t="s">
        <v>1738</v>
      </c>
      <c r="D121" s="1" t="s">
        <v>1190</v>
      </c>
      <c r="E121" s="2" t="s">
        <v>455</v>
      </c>
      <c r="F121" t="s">
        <v>1739</v>
      </c>
      <c r="G121" t="s">
        <v>1740</v>
      </c>
      <c r="H121" t="s">
        <v>15</v>
      </c>
      <c r="I121" t="s">
        <v>37</v>
      </c>
      <c r="J121" t="s">
        <v>13</v>
      </c>
    </row>
    <row r="122" spans="1:10" x14ac:dyDescent="0.3">
      <c r="A122" t="s">
        <v>216</v>
      </c>
      <c r="B122">
        <v>80</v>
      </c>
      <c r="C122" t="s">
        <v>1741</v>
      </c>
      <c r="D122" s="1" t="s">
        <v>1484</v>
      </c>
      <c r="E122" s="2" t="s">
        <v>1581</v>
      </c>
      <c r="F122" t="s">
        <v>1742</v>
      </c>
      <c r="G122" t="s">
        <v>1104</v>
      </c>
      <c r="H122" t="s">
        <v>32</v>
      </c>
      <c r="I122" t="s">
        <v>13</v>
      </c>
      <c r="J122" t="s">
        <v>13</v>
      </c>
    </row>
    <row r="123" spans="1:10" x14ac:dyDescent="0.3">
      <c r="A123" t="s">
        <v>217</v>
      </c>
      <c r="B123">
        <v>106</v>
      </c>
      <c r="C123" t="s">
        <v>1505</v>
      </c>
      <c r="D123" s="1" t="s">
        <v>1510</v>
      </c>
      <c r="E123" s="2" t="s">
        <v>473</v>
      </c>
      <c r="F123" t="s">
        <v>1743</v>
      </c>
      <c r="G123" t="s">
        <v>566</v>
      </c>
      <c r="H123" t="s">
        <v>32</v>
      </c>
      <c r="I123" t="s">
        <v>13</v>
      </c>
      <c r="J123" t="s">
        <v>37</v>
      </c>
    </row>
    <row r="124" spans="1:10" x14ac:dyDescent="0.3">
      <c r="A124" t="s">
        <v>218</v>
      </c>
      <c r="B124">
        <v>66</v>
      </c>
      <c r="C124" t="s">
        <v>1744</v>
      </c>
      <c r="D124" s="1" t="s">
        <v>1426</v>
      </c>
      <c r="E124" s="2" t="s">
        <v>1662</v>
      </c>
      <c r="F124" t="s">
        <v>1745</v>
      </c>
      <c r="G124" t="s">
        <v>1746</v>
      </c>
      <c r="H124" t="s">
        <v>12</v>
      </c>
      <c r="I124" t="s">
        <v>13</v>
      </c>
      <c r="J124" t="s">
        <v>37</v>
      </c>
    </row>
    <row r="125" spans="1:10" x14ac:dyDescent="0.3">
      <c r="A125" t="s">
        <v>219</v>
      </c>
      <c r="B125">
        <v>44</v>
      </c>
      <c r="C125" t="s">
        <v>1747</v>
      </c>
      <c r="D125" s="1" t="s">
        <v>1088</v>
      </c>
      <c r="E125" s="2" t="s">
        <v>317</v>
      </c>
      <c r="F125" t="s">
        <v>1748</v>
      </c>
      <c r="G125" t="s">
        <v>1749</v>
      </c>
      <c r="H125" t="s">
        <v>26</v>
      </c>
      <c r="I125" t="s">
        <v>14</v>
      </c>
      <c r="J125" t="s">
        <v>37</v>
      </c>
    </row>
    <row r="126" spans="1:10" x14ac:dyDescent="0.3">
      <c r="A126" t="s">
        <v>220</v>
      </c>
      <c r="B126">
        <v>120</v>
      </c>
      <c r="C126" t="s">
        <v>1641</v>
      </c>
      <c r="D126" s="1" t="s">
        <v>1399</v>
      </c>
      <c r="E126" s="2" t="s">
        <v>1241</v>
      </c>
      <c r="F126" t="s">
        <v>1640</v>
      </c>
      <c r="G126" t="s">
        <v>418</v>
      </c>
      <c r="H126" t="s">
        <v>12</v>
      </c>
      <c r="I126" t="s">
        <v>13</v>
      </c>
      <c r="J126" t="s">
        <v>13</v>
      </c>
    </row>
    <row r="127" spans="1:10" x14ac:dyDescent="0.3">
      <c r="A127" t="s">
        <v>221</v>
      </c>
      <c r="B127">
        <v>117</v>
      </c>
      <c r="C127" t="s">
        <v>1750</v>
      </c>
      <c r="D127" s="1" t="s">
        <v>400</v>
      </c>
      <c r="E127" s="2" t="s">
        <v>1462</v>
      </c>
      <c r="F127" t="s">
        <v>1751</v>
      </c>
      <c r="G127" t="s">
        <v>334</v>
      </c>
      <c r="H127" t="s">
        <v>32</v>
      </c>
      <c r="I127" t="s">
        <v>13</v>
      </c>
      <c r="J127" t="s">
        <v>14</v>
      </c>
    </row>
    <row r="128" spans="1:10" x14ac:dyDescent="0.3">
      <c r="A128" t="s">
        <v>222</v>
      </c>
      <c r="B128">
        <v>86</v>
      </c>
      <c r="C128" t="s">
        <v>1072</v>
      </c>
      <c r="D128" s="1" t="s">
        <v>1752</v>
      </c>
      <c r="E128" s="2" t="s">
        <v>528</v>
      </c>
      <c r="F128" t="s">
        <v>1753</v>
      </c>
      <c r="G128" t="s">
        <v>1754</v>
      </c>
      <c r="H128" t="s">
        <v>12</v>
      </c>
      <c r="I128" t="s">
        <v>13</v>
      </c>
      <c r="J128" t="s">
        <v>14</v>
      </c>
    </row>
    <row r="129" spans="1:10" x14ac:dyDescent="0.3">
      <c r="A129" t="s">
        <v>223</v>
      </c>
      <c r="B129">
        <v>116</v>
      </c>
      <c r="C129" t="s">
        <v>1375</v>
      </c>
      <c r="D129" s="1" t="s">
        <v>344</v>
      </c>
      <c r="E129" s="2" t="s">
        <v>607</v>
      </c>
      <c r="F129" t="s">
        <v>1755</v>
      </c>
      <c r="G129" t="s">
        <v>1756</v>
      </c>
      <c r="H129" t="s">
        <v>26</v>
      </c>
      <c r="I129" t="s">
        <v>37</v>
      </c>
      <c r="J129" t="s">
        <v>37</v>
      </c>
    </row>
    <row r="130" spans="1:10" x14ac:dyDescent="0.3">
      <c r="A130" t="s">
        <v>224</v>
      </c>
      <c r="B130">
        <v>24</v>
      </c>
      <c r="C130" t="s">
        <v>371</v>
      </c>
      <c r="D130" s="1" t="s">
        <v>510</v>
      </c>
      <c r="E130" s="2" t="s">
        <v>862</v>
      </c>
      <c r="F130" t="s">
        <v>1757</v>
      </c>
      <c r="G130" t="s">
        <v>1758</v>
      </c>
      <c r="H130" t="s">
        <v>12</v>
      </c>
      <c r="I130" t="s">
        <v>14</v>
      </c>
      <c r="J130" t="s">
        <v>14</v>
      </c>
    </row>
    <row r="131" spans="1:10" x14ac:dyDescent="0.3">
      <c r="A131" t="s">
        <v>225</v>
      </c>
      <c r="B131">
        <v>60</v>
      </c>
      <c r="C131" t="s">
        <v>455</v>
      </c>
      <c r="D131" s="1" t="s">
        <v>1135</v>
      </c>
      <c r="E131" s="2" t="s">
        <v>1759</v>
      </c>
      <c r="F131" t="s">
        <v>1760</v>
      </c>
      <c r="G131" t="s">
        <v>1761</v>
      </c>
      <c r="H131" t="s">
        <v>26</v>
      </c>
      <c r="I131" t="s">
        <v>37</v>
      </c>
      <c r="J131" t="s">
        <v>14</v>
      </c>
    </row>
    <row r="132" spans="1:10" x14ac:dyDescent="0.3">
      <c r="A132" t="s">
        <v>226</v>
      </c>
      <c r="B132">
        <v>84</v>
      </c>
      <c r="C132" t="s">
        <v>1762</v>
      </c>
      <c r="D132" s="1" t="s">
        <v>1269</v>
      </c>
      <c r="E132" s="2" t="s">
        <v>1566</v>
      </c>
      <c r="F132" t="s">
        <v>1763</v>
      </c>
      <c r="G132" t="s">
        <v>1764</v>
      </c>
      <c r="H132" t="s">
        <v>12</v>
      </c>
      <c r="I132" t="s">
        <v>13</v>
      </c>
      <c r="J132" t="s">
        <v>14</v>
      </c>
    </row>
    <row r="133" spans="1:10" x14ac:dyDescent="0.3">
      <c r="A133" t="s">
        <v>227</v>
      </c>
      <c r="B133">
        <v>55</v>
      </c>
      <c r="C133" t="s">
        <v>1461</v>
      </c>
      <c r="D133" s="1" t="s">
        <v>581</v>
      </c>
      <c r="E133" s="2" t="s">
        <v>1221</v>
      </c>
      <c r="F133" t="s">
        <v>1765</v>
      </c>
      <c r="G133" t="s">
        <v>909</v>
      </c>
      <c r="H133" t="s">
        <v>26</v>
      </c>
      <c r="I133" t="s">
        <v>37</v>
      </c>
      <c r="J133" t="s">
        <v>37</v>
      </c>
    </row>
    <row r="134" spans="1:10" x14ac:dyDescent="0.3">
      <c r="A134" t="s">
        <v>228</v>
      </c>
      <c r="B134">
        <v>72</v>
      </c>
      <c r="C134" t="s">
        <v>1766</v>
      </c>
      <c r="D134" s="1" t="s">
        <v>940</v>
      </c>
      <c r="E134" s="2" t="s">
        <v>1276</v>
      </c>
      <c r="F134" t="s">
        <v>1451</v>
      </c>
      <c r="G134" t="s">
        <v>1149</v>
      </c>
      <c r="H134" t="s">
        <v>15</v>
      </c>
      <c r="I134" t="s">
        <v>13</v>
      </c>
      <c r="J134" t="s">
        <v>13</v>
      </c>
    </row>
    <row r="135" spans="1:10" x14ac:dyDescent="0.3">
      <c r="A135" t="s">
        <v>229</v>
      </c>
      <c r="B135">
        <v>54</v>
      </c>
      <c r="C135" t="s">
        <v>1484</v>
      </c>
      <c r="D135" s="1" t="s">
        <v>1334</v>
      </c>
      <c r="E135" s="2" t="s">
        <v>862</v>
      </c>
      <c r="F135" t="s">
        <v>1767</v>
      </c>
      <c r="G135" t="s">
        <v>1549</v>
      </c>
      <c r="H135" t="s">
        <v>32</v>
      </c>
      <c r="I135" t="s">
        <v>37</v>
      </c>
      <c r="J135" t="s">
        <v>14</v>
      </c>
    </row>
    <row r="136" spans="1:10" x14ac:dyDescent="0.3">
      <c r="A136" t="s">
        <v>230</v>
      </c>
      <c r="B136">
        <v>84</v>
      </c>
      <c r="C136" t="s">
        <v>267</v>
      </c>
      <c r="D136" s="1" t="s">
        <v>1406</v>
      </c>
      <c r="E136" s="2" t="s">
        <v>1355</v>
      </c>
      <c r="F136" t="s">
        <v>1768</v>
      </c>
      <c r="G136" t="s">
        <v>1769</v>
      </c>
      <c r="H136" t="s">
        <v>12</v>
      </c>
      <c r="I136" t="s">
        <v>14</v>
      </c>
      <c r="J136" t="s">
        <v>13</v>
      </c>
    </row>
    <row r="137" spans="1:10" x14ac:dyDescent="0.3">
      <c r="A137" t="s">
        <v>231</v>
      </c>
      <c r="B137">
        <v>115</v>
      </c>
      <c r="C137" t="s">
        <v>1301</v>
      </c>
      <c r="D137" s="1" t="s">
        <v>748</v>
      </c>
      <c r="E137" s="2" t="s">
        <v>1770</v>
      </c>
      <c r="F137" t="s">
        <v>1771</v>
      </c>
      <c r="G137" t="s">
        <v>433</v>
      </c>
      <c r="H137" t="s">
        <v>32</v>
      </c>
      <c r="I137" t="s">
        <v>14</v>
      </c>
      <c r="J137" t="s">
        <v>37</v>
      </c>
    </row>
    <row r="138" spans="1:10" x14ac:dyDescent="0.3">
      <c r="A138" t="s">
        <v>232</v>
      </c>
      <c r="B138">
        <v>21</v>
      </c>
      <c r="C138" t="s">
        <v>1772</v>
      </c>
      <c r="D138" s="1" t="s">
        <v>672</v>
      </c>
      <c r="E138" s="2" t="s">
        <v>1377</v>
      </c>
      <c r="F138" t="s">
        <v>1686</v>
      </c>
      <c r="G138" t="s">
        <v>1133</v>
      </c>
      <c r="H138" t="s">
        <v>26</v>
      </c>
      <c r="I138" t="s">
        <v>14</v>
      </c>
      <c r="J138" t="s">
        <v>14</v>
      </c>
    </row>
    <row r="139" spans="1:10" x14ac:dyDescent="0.3">
      <c r="A139" t="s">
        <v>234</v>
      </c>
      <c r="B139">
        <v>66</v>
      </c>
      <c r="C139" t="s">
        <v>1171</v>
      </c>
      <c r="D139" s="1" t="s">
        <v>595</v>
      </c>
      <c r="E139" s="2" t="s">
        <v>588</v>
      </c>
      <c r="F139" t="s">
        <v>1773</v>
      </c>
      <c r="G139" t="s">
        <v>409</v>
      </c>
      <c r="H139" t="s">
        <v>12</v>
      </c>
      <c r="I139" t="s">
        <v>14</v>
      </c>
      <c r="J139" t="s">
        <v>13</v>
      </c>
    </row>
    <row r="140" spans="1:10" x14ac:dyDescent="0.3">
      <c r="A140" t="s">
        <v>235</v>
      </c>
      <c r="B140">
        <v>34</v>
      </c>
      <c r="C140" t="s">
        <v>1181</v>
      </c>
      <c r="D140" s="1" t="s">
        <v>1774</v>
      </c>
      <c r="E140" s="2" t="s">
        <v>287</v>
      </c>
      <c r="F140" t="s">
        <v>1722</v>
      </c>
      <c r="G140" t="s">
        <v>1775</v>
      </c>
      <c r="H140" t="s">
        <v>12</v>
      </c>
      <c r="I140" t="s">
        <v>37</v>
      </c>
      <c r="J140" t="s">
        <v>13</v>
      </c>
    </row>
    <row r="141" spans="1:10" x14ac:dyDescent="0.3">
      <c r="A141" t="s">
        <v>237</v>
      </c>
      <c r="B141">
        <v>70</v>
      </c>
      <c r="C141" t="s">
        <v>1776</v>
      </c>
      <c r="D141" s="1" t="s">
        <v>1777</v>
      </c>
      <c r="E141" s="2" t="s">
        <v>1394</v>
      </c>
      <c r="F141" t="s">
        <v>1778</v>
      </c>
      <c r="G141" t="s">
        <v>1741</v>
      </c>
      <c r="H141" t="s">
        <v>26</v>
      </c>
      <c r="I141" t="s">
        <v>13</v>
      </c>
      <c r="J141" t="s">
        <v>13</v>
      </c>
    </row>
    <row r="142" spans="1:10" x14ac:dyDescent="0.3">
      <c r="A142" t="s">
        <v>238</v>
      </c>
      <c r="B142">
        <v>54</v>
      </c>
      <c r="C142" t="s">
        <v>480</v>
      </c>
      <c r="D142" s="1" t="s">
        <v>1323</v>
      </c>
      <c r="E142" s="2" t="s">
        <v>965</v>
      </c>
      <c r="F142" t="s">
        <v>1779</v>
      </c>
      <c r="G142" t="s">
        <v>1780</v>
      </c>
      <c r="H142" t="s">
        <v>15</v>
      </c>
      <c r="I142" t="s">
        <v>37</v>
      </c>
      <c r="J142" t="s">
        <v>14</v>
      </c>
    </row>
    <row r="143" spans="1:10" x14ac:dyDescent="0.3">
      <c r="A143" t="s">
        <v>239</v>
      </c>
      <c r="B143">
        <v>25</v>
      </c>
      <c r="C143" t="s">
        <v>1498</v>
      </c>
      <c r="D143" s="1" t="s">
        <v>464</v>
      </c>
      <c r="E143" s="2" t="s">
        <v>690</v>
      </c>
      <c r="F143" t="s">
        <v>1649</v>
      </c>
      <c r="G143" t="s">
        <v>1781</v>
      </c>
      <c r="H143" t="s">
        <v>15</v>
      </c>
      <c r="I143" t="s">
        <v>14</v>
      </c>
      <c r="J143" t="s">
        <v>37</v>
      </c>
    </row>
    <row r="144" spans="1:10" x14ac:dyDescent="0.3">
      <c r="A144" t="s">
        <v>240</v>
      </c>
      <c r="B144">
        <v>64</v>
      </c>
      <c r="C144" t="s">
        <v>1782</v>
      </c>
      <c r="D144" s="1" t="s">
        <v>1020</v>
      </c>
      <c r="E144" s="2" t="s">
        <v>818</v>
      </c>
      <c r="F144" t="s">
        <v>1783</v>
      </c>
      <c r="G144" t="s">
        <v>490</v>
      </c>
      <c r="H144" t="s">
        <v>26</v>
      </c>
      <c r="I144" t="s">
        <v>37</v>
      </c>
      <c r="J144" t="s">
        <v>13</v>
      </c>
    </row>
    <row r="145" spans="1:10" x14ac:dyDescent="0.3">
      <c r="A145" t="s">
        <v>241</v>
      </c>
      <c r="B145">
        <v>22</v>
      </c>
      <c r="C145" t="s">
        <v>1784</v>
      </c>
      <c r="D145" s="1" t="s">
        <v>526</v>
      </c>
      <c r="E145" s="2" t="s">
        <v>794</v>
      </c>
      <c r="F145" t="s">
        <v>1785</v>
      </c>
      <c r="G145" t="s">
        <v>1556</v>
      </c>
      <c r="H145" t="s">
        <v>26</v>
      </c>
      <c r="I145" t="s">
        <v>13</v>
      </c>
      <c r="J145" t="s">
        <v>37</v>
      </c>
    </row>
    <row r="146" spans="1:10" x14ac:dyDescent="0.3">
      <c r="A146" t="s">
        <v>242</v>
      </c>
      <c r="B146">
        <v>34</v>
      </c>
      <c r="C146" t="s">
        <v>1786</v>
      </c>
      <c r="D146" s="1" t="s">
        <v>538</v>
      </c>
      <c r="E146" s="2" t="s">
        <v>890</v>
      </c>
      <c r="F146" t="s">
        <v>1787</v>
      </c>
      <c r="G146" t="s">
        <v>1677</v>
      </c>
      <c r="H146" t="s">
        <v>26</v>
      </c>
      <c r="I146" t="s">
        <v>14</v>
      </c>
      <c r="J146" t="s">
        <v>13</v>
      </c>
    </row>
    <row r="147" spans="1:10" x14ac:dyDescent="0.3">
      <c r="A147" t="s">
        <v>243</v>
      </c>
      <c r="B147">
        <v>45</v>
      </c>
      <c r="C147" t="s">
        <v>1788</v>
      </c>
      <c r="D147" s="1" t="s">
        <v>1789</v>
      </c>
      <c r="E147" s="2" t="s">
        <v>1054</v>
      </c>
      <c r="F147" t="s">
        <v>822</v>
      </c>
      <c r="G147" t="s">
        <v>862</v>
      </c>
      <c r="H147" t="s">
        <v>15</v>
      </c>
      <c r="I147" t="s">
        <v>14</v>
      </c>
      <c r="J147" t="s">
        <v>37</v>
      </c>
    </row>
    <row r="148" spans="1:10" x14ac:dyDescent="0.3">
      <c r="A148" t="s">
        <v>244</v>
      </c>
      <c r="B148">
        <v>53</v>
      </c>
      <c r="C148" t="s">
        <v>1790</v>
      </c>
      <c r="D148" s="1" t="s">
        <v>1054</v>
      </c>
      <c r="E148" s="2" t="s">
        <v>709</v>
      </c>
      <c r="F148" t="s">
        <v>1791</v>
      </c>
      <c r="G148" t="s">
        <v>1585</v>
      </c>
      <c r="H148" t="s">
        <v>32</v>
      </c>
      <c r="I148" t="s">
        <v>13</v>
      </c>
      <c r="J148" t="s">
        <v>37</v>
      </c>
    </row>
    <row r="149" spans="1:10" x14ac:dyDescent="0.3">
      <c r="A149" t="s">
        <v>245</v>
      </c>
      <c r="B149">
        <v>108</v>
      </c>
      <c r="C149" t="s">
        <v>1649</v>
      </c>
      <c r="D149" s="1" t="s">
        <v>1388</v>
      </c>
      <c r="E149" s="2" t="s">
        <v>1575</v>
      </c>
      <c r="F149" t="s">
        <v>555</v>
      </c>
      <c r="G149" t="s">
        <v>1792</v>
      </c>
      <c r="H149" t="s">
        <v>26</v>
      </c>
      <c r="I149" t="s">
        <v>14</v>
      </c>
      <c r="J149" t="s">
        <v>37</v>
      </c>
    </row>
    <row r="150" spans="1:10" x14ac:dyDescent="0.3">
      <c r="A150" t="s">
        <v>246</v>
      </c>
      <c r="B150">
        <v>34</v>
      </c>
      <c r="C150" t="s">
        <v>940</v>
      </c>
      <c r="D150" s="1" t="s">
        <v>1515</v>
      </c>
      <c r="E150" s="2" t="s">
        <v>1029</v>
      </c>
      <c r="F150" t="s">
        <v>1590</v>
      </c>
      <c r="G150" t="s">
        <v>1250</v>
      </c>
      <c r="H150" t="s">
        <v>15</v>
      </c>
      <c r="I150" t="s">
        <v>37</v>
      </c>
      <c r="J150" t="s">
        <v>13</v>
      </c>
    </row>
    <row r="151" spans="1:10" x14ac:dyDescent="0.3">
      <c r="A151" t="s">
        <v>247</v>
      </c>
      <c r="B151">
        <v>99</v>
      </c>
      <c r="C151" t="s">
        <v>1793</v>
      </c>
      <c r="D151" s="1" t="s">
        <v>777</v>
      </c>
      <c r="E151" s="2" t="s">
        <v>1241</v>
      </c>
      <c r="F151" t="s">
        <v>1587</v>
      </c>
      <c r="G151" t="s">
        <v>1794</v>
      </c>
      <c r="H151" t="s">
        <v>26</v>
      </c>
      <c r="I151" t="s">
        <v>14</v>
      </c>
      <c r="J151" t="s">
        <v>13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2EAB-D726-485F-812D-D35E5BAE6793}">
  <sheetPr codeName="Sheet4"/>
  <dimension ref="A1:G150"/>
  <sheetViews>
    <sheetView workbookViewId="0">
      <selection sqref="A1:G150"/>
    </sheetView>
  </sheetViews>
  <sheetFormatPr defaultRowHeight="14.4" x14ac:dyDescent="0.3"/>
  <cols>
    <col min="1" max="1" width="28" customWidth="1"/>
    <col min="2" max="2" width="13.44140625" customWidth="1"/>
    <col min="3" max="3" width="26.6640625" style="5" customWidth="1"/>
    <col min="4" max="4" width="15" style="5" customWidth="1"/>
    <col min="5" max="5" width="16.109375" style="5" bestFit="1" customWidth="1"/>
    <col min="6" max="6" width="12.88671875" bestFit="1" customWidth="1"/>
    <col min="7" max="7" width="18.88671875" bestFit="1" customWidth="1"/>
  </cols>
  <sheetData>
    <row r="1" spans="1:7" x14ac:dyDescent="0.3">
      <c r="A1" s="3" t="s">
        <v>0</v>
      </c>
      <c r="B1" s="3" t="s">
        <v>1795</v>
      </c>
      <c r="C1" s="4" t="s">
        <v>1796</v>
      </c>
      <c r="D1" s="4" t="s">
        <v>249</v>
      </c>
      <c r="E1" s="4" t="s">
        <v>8</v>
      </c>
      <c r="F1" s="3" t="s">
        <v>1797</v>
      </c>
      <c r="G1" s="3" t="s">
        <v>1798</v>
      </c>
    </row>
    <row r="2" spans="1:7" x14ac:dyDescent="0.3">
      <c r="A2" t="str">
        <f>'Break Data'!A2</f>
        <v>Mum_Employee1 (1008501)</v>
      </c>
      <c r="B2" t="str">
        <f>MID(A2,FIND("_",A2,1)+1,FIND("(",A2,1)-FIND("_",A2,1)-2)</f>
        <v>Employee1</v>
      </c>
      <c r="C2" s="5">
        <f t="shared" ref="C2:C33" si="0">TIMEVALUE(VLOOKUP(A2,Efficiency,2,0))</f>
        <v>0.30833333333333335</v>
      </c>
      <c r="D2" s="5">
        <f t="shared" ref="D2:D33" si="1">TIMEVALUE(VLOOKUP(A2,Efficiency,3,0))</f>
        <v>0.20555555555555555</v>
      </c>
      <c r="E2" s="5">
        <f t="shared" ref="E2:E33" si="2">TIMEVALUE(VLOOKUP(A2,Breakdata,9,0))</f>
        <v>4.791666666666667E-2</v>
      </c>
      <c r="F2">
        <f t="shared" ref="F2:F33" si="3">VLOOKUP(A2,Calldata,2,0)</f>
        <v>94</v>
      </c>
      <c r="G2" s="9">
        <f t="shared" ref="G2:G33" si="4">VALUE(VLOOKUP(A2,Efficiency,6,0))</f>
        <v>0.66659999999999997</v>
      </c>
    </row>
    <row r="3" spans="1:7" x14ac:dyDescent="0.3">
      <c r="A3" t="str">
        <f>'Break Data'!A3</f>
        <v>Mum_Employee2 (1008502)</v>
      </c>
      <c r="B3" t="str">
        <f t="shared" ref="B3:B66" si="5">MID(A3,FIND("_",A3,1)+1,FIND("(",A3,1)-FIND("_",A3,1)-2)</f>
        <v>Employee2</v>
      </c>
      <c r="C3" s="5">
        <f t="shared" si="0"/>
        <v>0.29166666666666669</v>
      </c>
      <c r="D3" s="5">
        <f t="shared" si="1"/>
        <v>0.20416666666666666</v>
      </c>
      <c r="E3" s="5">
        <f t="shared" si="2"/>
        <v>6.7361111111111108E-2</v>
      </c>
      <c r="F3">
        <f t="shared" si="3"/>
        <v>31</v>
      </c>
      <c r="G3" s="9">
        <f t="shared" si="4"/>
        <v>0.53790000000000004</v>
      </c>
    </row>
    <row r="4" spans="1:7" x14ac:dyDescent="0.3">
      <c r="A4" t="str">
        <f>'Break Data'!A4</f>
        <v>Mum_Employee3 (1008503)</v>
      </c>
      <c r="B4" t="str">
        <f t="shared" si="5"/>
        <v>Employee3</v>
      </c>
      <c r="C4" s="5">
        <f t="shared" si="0"/>
        <v>0.35833333333333334</v>
      </c>
      <c r="D4" s="5">
        <f t="shared" si="1"/>
        <v>0.21319444444444444</v>
      </c>
      <c r="E4" s="5">
        <f t="shared" si="2"/>
        <v>6.3194444444444442E-2</v>
      </c>
      <c r="F4">
        <f t="shared" si="3"/>
        <v>33</v>
      </c>
      <c r="G4" s="9">
        <f t="shared" si="4"/>
        <v>0.41830000000000001</v>
      </c>
    </row>
    <row r="5" spans="1:7" x14ac:dyDescent="0.3">
      <c r="A5" t="str">
        <f>'Break Data'!A5</f>
        <v>Mum_Employee4 (1008504)</v>
      </c>
      <c r="B5" t="str">
        <f t="shared" si="5"/>
        <v>Employee4</v>
      </c>
      <c r="C5" s="5">
        <f t="shared" si="0"/>
        <v>0.36736111111111114</v>
      </c>
      <c r="D5" s="5">
        <f t="shared" si="1"/>
        <v>0.18472222222222223</v>
      </c>
      <c r="E5" s="5">
        <f t="shared" si="2"/>
        <v>5.7638888888888892E-2</v>
      </c>
      <c r="F5">
        <f t="shared" si="3"/>
        <v>36</v>
      </c>
      <c r="G5" s="9">
        <f t="shared" si="4"/>
        <v>0.53910000000000002</v>
      </c>
    </row>
    <row r="6" spans="1:7" x14ac:dyDescent="0.3">
      <c r="A6" t="str">
        <f>'Break Data'!A6</f>
        <v>Mum_Employee5 (1008505)</v>
      </c>
      <c r="B6" t="str">
        <f t="shared" si="5"/>
        <v>Employee5</v>
      </c>
      <c r="C6" s="5">
        <f t="shared" si="0"/>
        <v>0.32222222222222224</v>
      </c>
      <c r="D6" s="5">
        <f t="shared" si="1"/>
        <v>0.21180555555555555</v>
      </c>
      <c r="E6" s="5">
        <f t="shared" si="2"/>
        <v>6.1805555555555558E-2</v>
      </c>
      <c r="F6">
        <f t="shared" si="3"/>
        <v>40</v>
      </c>
      <c r="G6" s="9">
        <f t="shared" si="4"/>
        <v>0.5847</v>
      </c>
    </row>
    <row r="7" spans="1:7" x14ac:dyDescent="0.3">
      <c r="A7" t="str">
        <f>'Break Data'!A7</f>
        <v>Mum_Employee6 (1008506)</v>
      </c>
      <c r="B7" t="str">
        <f t="shared" si="5"/>
        <v>Employee6</v>
      </c>
      <c r="C7" s="5">
        <f t="shared" si="0"/>
        <v>0.29444444444444445</v>
      </c>
      <c r="D7" s="5">
        <f t="shared" si="1"/>
        <v>0.19236111111111112</v>
      </c>
      <c r="E7" s="5">
        <f t="shared" si="2"/>
        <v>7.3611111111111113E-2</v>
      </c>
      <c r="F7">
        <f t="shared" si="3"/>
        <v>55</v>
      </c>
      <c r="G7" s="9">
        <f t="shared" si="4"/>
        <v>0.5524</v>
      </c>
    </row>
    <row r="8" spans="1:7" x14ac:dyDescent="0.3">
      <c r="A8" t="str">
        <f>'Break Data'!A8</f>
        <v>Mum_Employee7 (1008507)</v>
      </c>
      <c r="B8" t="str">
        <f t="shared" si="5"/>
        <v>Employee7</v>
      </c>
      <c r="C8" s="5">
        <f t="shared" si="0"/>
        <v>0.29166666666666669</v>
      </c>
      <c r="D8" s="5">
        <f t="shared" si="1"/>
        <v>0.22083333333333333</v>
      </c>
      <c r="E8" s="5">
        <f t="shared" si="2"/>
        <v>6.8750000000000006E-2</v>
      </c>
      <c r="F8">
        <f t="shared" si="3"/>
        <v>31</v>
      </c>
      <c r="G8" s="9">
        <f t="shared" si="4"/>
        <v>0.52229999999999999</v>
      </c>
    </row>
    <row r="9" spans="1:7" x14ac:dyDescent="0.3">
      <c r="A9" t="str">
        <f>'Break Data'!A9</f>
        <v>Mum_Employee8 (1008508)</v>
      </c>
      <c r="B9" t="str">
        <f t="shared" si="5"/>
        <v>Employee8</v>
      </c>
      <c r="C9" s="5">
        <f t="shared" si="0"/>
        <v>0.33541666666666664</v>
      </c>
      <c r="D9" s="5">
        <f t="shared" si="1"/>
        <v>0.20902777777777778</v>
      </c>
      <c r="E9" s="5">
        <f t="shared" si="2"/>
        <v>5.6250000000000001E-2</v>
      </c>
      <c r="F9">
        <f t="shared" si="3"/>
        <v>53</v>
      </c>
      <c r="G9" s="9">
        <f t="shared" si="4"/>
        <v>0.53539999999999999</v>
      </c>
    </row>
    <row r="10" spans="1:7" x14ac:dyDescent="0.3">
      <c r="A10" t="str">
        <f>'Break Data'!A10</f>
        <v>Mum_Employee9 (1008509)</v>
      </c>
      <c r="B10" t="str">
        <f t="shared" si="5"/>
        <v>Employee9</v>
      </c>
      <c r="C10" s="5">
        <f t="shared" si="0"/>
        <v>0.36180555555555555</v>
      </c>
      <c r="D10" s="5">
        <f t="shared" si="1"/>
        <v>0.21111111111111111</v>
      </c>
      <c r="E10" s="5">
        <f t="shared" si="2"/>
        <v>7.6388888888888895E-2</v>
      </c>
      <c r="F10">
        <f t="shared" si="3"/>
        <v>31</v>
      </c>
      <c r="G10" s="9">
        <f t="shared" si="4"/>
        <v>0.6573</v>
      </c>
    </row>
    <row r="11" spans="1:7" x14ac:dyDescent="0.3">
      <c r="A11" t="str">
        <f>'Break Data'!A11</f>
        <v>Mum_Employee10 (1008510)</v>
      </c>
      <c r="B11" t="str">
        <f t="shared" si="5"/>
        <v>Employee10</v>
      </c>
      <c r="C11" s="5">
        <f t="shared" si="0"/>
        <v>0.30486111111111114</v>
      </c>
      <c r="D11" s="5">
        <f t="shared" si="1"/>
        <v>0.21041666666666667</v>
      </c>
      <c r="E11" s="5">
        <f t="shared" si="2"/>
        <v>5.347222222222222E-2</v>
      </c>
      <c r="F11">
        <f t="shared" si="3"/>
        <v>82</v>
      </c>
      <c r="G11" s="9">
        <f t="shared" si="4"/>
        <v>0.46689999999999998</v>
      </c>
    </row>
    <row r="12" spans="1:7" x14ac:dyDescent="0.3">
      <c r="A12" t="str">
        <f>'Break Data'!A12</f>
        <v>Mum_Employee11 (1008511)</v>
      </c>
      <c r="B12" t="str">
        <f t="shared" si="5"/>
        <v>Employee11</v>
      </c>
      <c r="C12" s="5">
        <f t="shared" si="0"/>
        <v>0.34791666666666665</v>
      </c>
      <c r="D12" s="5">
        <f t="shared" si="1"/>
        <v>0.18124999999999999</v>
      </c>
      <c r="E12" s="5">
        <f t="shared" si="2"/>
        <v>7.013888888888889E-2</v>
      </c>
      <c r="F12">
        <f t="shared" si="3"/>
        <v>34</v>
      </c>
      <c r="G12" s="9">
        <f t="shared" si="4"/>
        <v>0.5958</v>
      </c>
    </row>
    <row r="13" spans="1:7" x14ac:dyDescent="0.3">
      <c r="A13" t="str">
        <f>'Break Data'!A13</f>
        <v>Mum_Employee12 (1008512)</v>
      </c>
      <c r="B13" t="str">
        <f t="shared" si="5"/>
        <v>Employee12</v>
      </c>
      <c r="C13" s="5">
        <f t="shared" si="0"/>
        <v>0.3</v>
      </c>
      <c r="D13" s="5">
        <f t="shared" si="1"/>
        <v>0.24236111111111111</v>
      </c>
      <c r="E13" s="5">
        <f t="shared" si="2"/>
        <v>6.3194444444444442E-2</v>
      </c>
      <c r="F13">
        <f t="shared" si="3"/>
        <v>118</v>
      </c>
      <c r="G13" s="9">
        <f t="shared" si="4"/>
        <v>0.50519999999999998</v>
      </c>
    </row>
    <row r="14" spans="1:7" x14ac:dyDescent="0.3">
      <c r="A14" t="str">
        <f>'Break Data'!A14</f>
        <v>Mum_Employee13 (1008513)</v>
      </c>
      <c r="B14" t="str">
        <f t="shared" si="5"/>
        <v>Employee13</v>
      </c>
      <c r="C14" s="5">
        <f t="shared" si="0"/>
        <v>0.31458333333333333</v>
      </c>
      <c r="D14" s="5">
        <f t="shared" si="1"/>
        <v>0.22430555555555556</v>
      </c>
      <c r="E14" s="5">
        <f t="shared" si="2"/>
        <v>6.805555555555555E-2</v>
      </c>
      <c r="F14">
        <f t="shared" si="3"/>
        <v>83</v>
      </c>
      <c r="G14" s="9">
        <f t="shared" si="4"/>
        <v>0.61499999999999999</v>
      </c>
    </row>
    <row r="15" spans="1:7" x14ac:dyDescent="0.3">
      <c r="A15" t="str">
        <f>'Break Data'!A15</f>
        <v>Mum_Employee14 (1008514)</v>
      </c>
      <c r="B15" t="str">
        <f t="shared" si="5"/>
        <v>Employee14</v>
      </c>
      <c r="C15" s="5">
        <f t="shared" si="0"/>
        <v>0.36180555555555555</v>
      </c>
      <c r="D15" s="5">
        <f t="shared" si="1"/>
        <v>0.2076388888888889</v>
      </c>
      <c r="E15" s="5">
        <f t="shared" si="2"/>
        <v>6.805555555555555E-2</v>
      </c>
      <c r="F15">
        <f t="shared" si="3"/>
        <v>36</v>
      </c>
      <c r="G15" s="9">
        <f t="shared" si="4"/>
        <v>0.64859999999999995</v>
      </c>
    </row>
    <row r="16" spans="1:7" x14ac:dyDescent="0.3">
      <c r="A16" t="str">
        <f>'Break Data'!A16</f>
        <v>Mum_Employee15 (1008515)</v>
      </c>
      <c r="B16" t="str">
        <f t="shared" si="5"/>
        <v>Employee15</v>
      </c>
      <c r="C16" s="5">
        <f t="shared" si="0"/>
        <v>0.30208333333333331</v>
      </c>
      <c r="D16" s="5">
        <f t="shared" si="1"/>
        <v>0.24305555555555555</v>
      </c>
      <c r="E16" s="5">
        <f t="shared" si="2"/>
        <v>5.6250000000000001E-2</v>
      </c>
      <c r="F16">
        <f t="shared" si="3"/>
        <v>85</v>
      </c>
      <c r="G16" s="9">
        <f t="shared" si="4"/>
        <v>0.69579999999999997</v>
      </c>
    </row>
    <row r="17" spans="1:7" x14ac:dyDescent="0.3">
      <c r="A17" t="str">
        <f>'Break Data'!A17</f>
        <v>Mum_Employee16 (1008516)</v>
      </c>
      <c r="B17" t="str">
        <f t="shared" si="5"/>
        <v>Employee16</v>
      </c>
      <c r="C17" s="5">
        <f t="shared" si="0"/>
        <v>0.33819444444444446</v>
      </c>
      <c r="D17" s="5">
        <f t="shared" si="1"/>
        <v>0.20902777777777778</v>
      </c>
      <c r="E17" s="5">
        <f t="shared" si="2"/>
        <v>6.1111111111111109E-2</v>
      </c>
      <c r="F17">
        <f t="shared" si="3"/>
        <v>73</v>
      </c>
      <c r="G17" s="9">
        <f t="shared" si="4"/>
        <v>0.60409999999999997</v>
      </c>
    </row>
    <row r="18" spans="1:7" x14ac:dyDescent="0.3">
      <c r="A18" t="str">
        <f>'Break Data'!A18</f>
        <v>Mum_Employee17 (1008517)</v>
      </c>
      <c r="B18" t="str">
        <f t="shared" si="5"/>
        <v>Employee17</v>
      </c>
      <c r="C18" s="5">
        <f t="shared" si="0"/>
        <v>0.35347222222222224</v>
      </c>
      <c r="D18" s="5">
        <f t="shared" si="1"/>
        <v>0.19236111111111112</v>
      </c>
      <c r="E18" s="5">
        <f t="shared" si="2"/>
        <v>5.8333333333333334E-2</v>
      </c>
      <c r="F18">
        <f t="shared" si="3"/>
        <v>117</v>
      </c>
      <c r="G18" s="9">
        <f t="shared" si="4"/>
        <v>0.42309999999999998</v>
      </c>
    </row>
    <row r="19" spans="1:7" x14ac:dyDescent="0.3">
      <c r="A19" t="str">
        <f>'Break Data'!A19</f>
        <v>Mum_Employee18 (1008518)</v>
      </c>
      <c r="B19" t="str">
        <f t="shared" si="5"/>
        <v>Employee18</v>
      </c>
      <c r="C19" s="5">
        <f t="shared" si="0"/>
        <v>0.30208333333333331</v>
      </c>
      <c r="D19" s="5">
        <f t="shared" si="1"/>
        <v>0.24930555555555556</v>
      </c>
      <c r="E19" s="5">
        <f t="shared" si="2"/>
        <v>6.1805555555555558E-2</v>
      </c>
      <c r="F19">
        <f t="shared" si="3"/>
        <v>89</v>
      </c>
      <c r="G19" s="9">
        <f t="shared" si="4"/>
        <v>0.48909999999999998</v>
      </c>
    </row>
    <row r="20" spans="1:7" x14ac:dyDescent="0.3">
      <c r="A20" t="str">
        <f>'Break Data'!A20</f>
        <v>Mum_Employee19 (1008519)</v>
      </c>
      <c r="B20" t="str">
        <f t="shared" si="5"/>
        <v>Employee19</v>
      </c>
      <c r="C20" s="5">
        <f t="shared" si="0"/>
        <v>0.36041666666666666</v>
      </c>
      <c r="D20" s="5">
        <f t="shared" si="1"/>
        <v>0.19027777777777777</v>
      </c>
      <c r="E20" s="5">
        <f t="shared" si="2"/>
        <v>6.25E-2</v>
      </c>
      <c r="F20">
        <f t="shared" si="3"/>
        <v>85</v>
      </c>
      <c r="G20" s="9">
        <f t="shared" si="4"/>
        <v>0.63249999999999995</v>
      </c>
    </row>
    <row r="21" spans="1:7" x14ac:dyDescent="0.3">
      <c r="A21" t="str">
        <f>'Break Data'!A21</f>
        <v>Mum_Employee20 (1008520)</v>
      </c>
      <c r="B21" t="str">
        <f t="shared" si="5"/>
        <v>Employee20</v>
      </c>
      <c r="C21" s="5">
        <f t="shared" si="0"/>
        <v>0.35694444444444445</v>
      </c>
      <c r="D21" s="5">
        <f t="shared" si="1"/>
        <v>0.23819444444444443</v>
      </c>
      <c r="E21" s="5">
        <f t="shared" si="2"/>
        <v>6.3194444444444442E-2</v>
      </c>
      <c r="F21">
        <f t="shared" si="3"/>
        <v>52</v>
      </c>
      <c r="G21" s="9">
        <f t="shared" si="4"/>
        <v>0.66379999999999995</v>
      </c>
    </row>
    <row r="22" spans="1:7" x14ac:dyDescent="0.3">
      <c r="A22" t="str">
        <f>'Break Data'!A22</f>
        <v>Mum_Employee21 (1008521)</v>
      </c>
      <c r="B22" t="str">
        <f t="shared" si="5"/>
        <v>Employee21</v>
      </c>
      <c r="C22" s="5">
        <f t="shared" si="0"/>
        <v>0.34444444444444444</v>
      </c>
      <c r="D22" s="5">
        <f t="shared" si="1"/>
        <v>0.1875</v>
      </c>
      <c r="E22" s="5">
        <f t="shared" si="2"/>
        <v>6.3888888888888884E-2</v>
      </c>
      <c r="F22">
        <f t="shared" si="3"/>
        <v>66</v>
      </c>
      <c r="G22" s="9">
        <f t="shared" si="4"/>
        <v>0.6038</v>
      </c>
    </row>
    <row r="23" spans="1:7" x14ac:dyDescent="0.3">
      <c r="A23" t="str">
        <f>'Break Data'!A23</f>
        <v>Mum_Employee22 (1008522)</v>
      </c>
      <c r="B23" t="str">
        <f t="shared" si="5"/>
        <v>Employee22</v>
      </c>
      <c r="C23" s="5">
        <f t="shared" si="0"/>
        <v>0.37291666666666667</v>
      </c>
      <c r="D23" s="5">
        <f t="shared" si="1"/>
        <v>0.17986111111111111</v>
      </c>
      <c r="E23" s="5">
        <f t="shared" si="2"/>
        <v>7.1527777777777773E-2</v>
      </c>
      <c r="F23">
        <f t="shared" si="3"/>
        <v>107</v>
      </c>
      <c r="G23" s="9">
        <f t="shared" si="4"/>
        <v>0.49330000000000002</v>
      </c>
    </row>
    <row r="24" spans="1:7" x14ac:dyDescent="0.3">
      <c r="A24" t="str">
        <f>'Break Data'!A24</f>
        <v>Mum_Employee23 (1008523)</v>
      </c>
      <c r="B24" t="str">
        <f t="shared" si="5"/>
        <v>Employee23</v>
      </c>
      <c r="C24" s="5">
        <f t="shared" si="0"/>
        <v>0.30902777777777779</v>
      </c>
      <c r="D24" s="5">
        <f t="shared" si="1"/>
        <v>0.22291666666666668</v>
      </c>
      <c r="E24" s="5">
        <f t="shared" si="2"/>
        <v>6.6666666666666666E-2</v>
      </c>
      <c r="F24">
        <f t="shared" si="3"/>
        <v>79</v>
      </c>
      <c r="G24" s="9">
        <f t="shared" si="4"/>
        <v>0.45329999999999998</v>
      </c>
    </row>
    <row r="25" spans="1:7" x14ac:dyDescent="0.3">
      <c r="A25" t="str">
        <f>'Break Data'!A25</f>
        <v>Mum_Employee24 (1008524)</v>
      </c>
      <c r="B25" t="str">
        <f t="shared" si="5"/>
        <v>Employee24</v>
      </c>
      <c r="C25" s="5">
        <f t="shared" si="0"/>
        <v>0.33402777777777776</v>
      </c>
      <c r="D25" s="5">
        <f t="shared" si="1"/>
        <v>0.22152777777777777</v>
      </c>
      <c r="E25" s="5">
        <f t="shared" si="2"/>
        <v>5.8333333333333334E-2</v>
      </c>
      <c r="F25">
        <f t="shared" si="3"/>
        <v>101</v>
      </c>
      <c r="G25" s="9">
        <f t="shared" si="4"/>
        <v>0.53400000000000003</v>
      </c>
    </row>
    <row r="26" spans="1:7" x14ac:dyDescent="0.3">
      <c r="A26" t="str">
        <f>'Break Data'!A26</f>
        <v>Mum_Employee25 (1008525)</v>
      </c>
      <c r="B26" t="str">
        <f t="shared" si="5"/>
        <v>Employee25</v>
      </c>
      <c r="C26" s="5">
        <f t="shared" si="0"/>
        <v>0.36736111111111114</v>
      </c>
      <c r="D26" s="5">
        <f t="shared" si="1"/>
        <v>0.16875000000000001</v>
      </c>
      <c r="E26" s="5">
        <f t="shared" si="2"/>
        <v>6.0416666666666667E-2</v>
      </c>
      <c r="F26">
        <f t="shared" si="3"/>
        <v>100</v>
      </c>
      <c r="G26" s="9">
        <f t="shared" si="4"/>
        <v>0.52829999999999999</v>
      </c>
    </row>
    <row r="27" spans="1:7" x14ac:dyDescent="0.3">
      <c r="A27" t="str">
        <f>'Break Data'!A27</f>
        <v>Mum_Employee26 (1008526)</v>
      </c>
      <c r="B27" t="str">
        <f t="shared" si="5"/>
        <v>Employee26</v>
      </c>
      <c r="C27" s="5">
        <f t="shared" si="0"/>
        <v>0.33958333333333335</v>
      </c>
      <c r="D27" s="5">
        <f t="shared" si="1"/>
        <v>0.23958333333333334</v>
      </c>
      <c r="E27" s="5">
        <f t="shared" si="2"/>
        <v>7.0833333333333331E-2</v>
      </c>
      <c r="F27">
        <f t="shared" si="3"/>
        <v>89</v>
      </c>
      <c r="G27" s="9">
        <f t="shared" si="4"/>
        <v>0.45529999999999998</v>
      </c>
    </row>
    <row r="28" spans="1:7" x14ac:dyDescent="0.3">
      <c r="A28" t="str">
        <f>'Break Data'!A28</f>
        <v>Mum_Employee27 (1008527)</v>
      </c>
      <c r="B28" t="str">
        <f t="shared" si="5"/>
        <v>Employee27</v>
      </c>
      <c r="C28" s="5">
        <f t="shared" si="0"/>
        <v>0.34027777777777779</v>
      </c>
      <c r="D28" s="5">
        <f t="shared" si="1"/>
        <v>0.18194444444444444</v>
      </c>
      <c r="E28" s="5">
        <f t="shared" si="2"/>
        <v>6.25E-2</v>
      </c>
      <c r="F28">
        <f t="shared" si="3"/>
        <v>20</v>
      </c>
      <c r="G28" s="9">
        <f t="shared" si="4"/>
        <v>0.44040000000000001</v>
      </c>
    </row>
    <row r="29" spans="1:7" x14ac:dyDescent="0.3">
      <c r="A29" t="str">
        <f>'Break Data'!A29</f>
        <v>Mum_Employee28 (1008528)</v>
      </c>
      <c r="B29" t="str">
        <f t="shared" si="5"/>
        <v>Employee28</v>
      </c>
      <c r="C29" s="5">
        <f t="shared" si="0"/>
        <v>0.36805555555555558</v>
      </c>
      <c r="D29" s="5">
        <f t="shared" si="1"/>
        <v>0.1763888888888889</v>
      </c>
      <c r="E29" s="5">
        <f t="shared" si="2"/>
        <v>5.5555555555555552E-2</v>
      </c>
      <c r="F29">
        <f t="shared" si="3"/>
        <v>34</v>
      </c>
      <c r="G29" s="9">
        <f t="shared" si="4"/>
        <v>0.50139999999999996</v>
      </c>
    </row>
    <row r="30" spans="1:7" x14ac:dyDescent="0.3">
      <c r="A30" t="str">
        <f>'Break Data'!A30</f>
        <v>Mum_Employee29 (1008529)</v>
      </c>
      <c r="B30" t="str">
        <f t="shared" si="5"/>
        <v>Employee29</v>
      </c>
      <c r="C30" s="5">
        <f t="shared" si="0"/>
        <v>0.37083333333333335</v>
      </c>
      <c r="D30" s="5">
        <f t="shared" si="1"/>
        <v>0.17083333333333334</v>
      </c>
      <c r="E30" s="5">
        <f t="shared" si="2"/>
        <v>7.2916666666666671E-2</v>
      </c>
      <c r="F30">
        <f t="shared" si="3"/>
        <v>92</v>
      </c>
      <c r="G30" s="9">
        <f t="shared" si="4"/>
        <v>0.45090000000000002</v>
      </c>
    </row>
    <row r="31" spans="1:7" x14ac:dyDescent="0.3">
      <c r="A31" t="str">
        <f>'Break Data'!A31</f>
        <v>Mum_Employee30 (1008530)</v>
      </c>
      <c r="B31" t="str">
        <f t="shared" si="5"/>
        <v>Employee30</v>
      </c>
      <c r="C31" s="5">
        <f t="shared" si="0"/>
        <v>0.29375000000000001</v>
      </c>
      <c r="D31" s="5">
        <f t="shared" si="1"/>
        <v>0.24722222222222223</v>
      </c>
      <c r="E31" s="5">
        <f t="shared" si="2"/>
        <v>5.9722222222222225E-2</v>
      </c>
      <c r="F31">
        <f t="shared" si="3"/>
        <v>111</v>
      </c>
      <c r="G31" s="9">
        <f t="shared" si="4"/>
        <v>0.60019999999999996</v>
      </c>
    </row>
    <row r="32" spans="1:7" x14ac:dyDescent="0.3">
      <c r="A32" t="str">
        <f>'Break Data'!A32</f>
        <v>Mum_Employee31 (1008531)</v>
      </c>
      <c r="B32" t="str">
        <f t="shared" si="5"/>
        <v>Employee31</v>
      </c>
      <c r="C32" s="5">
        <f t="shared" si="0"/>
        <v>0.37152777777777779</v>
      </c>
      <c r="D32" s="5">
        <f t="shared" si="1"/>
        <v>0.17222222222222222</v>
      </c>
      <c r="E32" s="5">
        <f t="shared" si="2"/>
        <v>6.8750000000000006E-2</v>
      </c>
      <c r="F32">
        <f t="shared" si="3"/>
        <v>51</v>
      </c>
      <c r="G32" s="9">
        <f t="shared" si="4"/>
        <v>0.63900000000000001</v>
      </c>
    </row>
    <row r="33" spans="1:7" x14ac:dyDescent="0.3">
      <c r="A33" t="str">
        <f>'Break Data'!A33</f>
        <v>Mum_Employee32 (1008532)</v>
      </c>
      <c r="B33" t="str">
        <f t="shared" si="5"/>
        <v>Employee32</v>
      </c>
      <c r="C33" s="5">
        <f t="shared" si="0"/>
        <v>0.32708333333333334</v>
      </c>
      <c r="D33" s="5">
        <f t="shared" si="1"/>
        <v>0.2361111111111111</v>
      </c>
      <c r="E33" s="5">
        <f t="shared" si="2"/>
        <v>5.5555555555555552E-2</v>
      </c>
      <c r="F33">
        <f t="shared" si="3"/>
        <v>114</v>
      </c>
      <c r="G33" s="9">
        <f t="shared" si="4"/>
        <v>0.56120000000000003</v>
      </c>
    </row>
    <row r="34" spans="1:7" x14ac:dyDescent="0.3">
      <c r="A34" t="str">
        <f>'Break Data'!A34</f>
        <v>Mum_Employee33 (1008533)</v>
      </c>
      <c r="B34" t="str">
        <f t="shared" si="5"/>
        <v>Employee33</v>
      </c>
      <c r="C34" s="5">
        <f t="shared" ref="C34:C65" si="6">TIMEVALUE(VLOOKUP(A34,Efficiency,2,0))</f>
        <v>0.31666666666666665</v>
      </c>
      <c r="D34" s="5">
        <f t="shared" ref="D34:D65" si="7">TIMEVALUE(VLOOKUP(A34,Efficiency,3,0))</f>
        <v>0.2361111111111111</v>
      </c>
      <c r="E34" s="5">
        <f t="shared" ref="E34:E65" si="8">TIMEVALUE(VLOOKUP(A34,Breakdata,9,0))</f>
        <v>6.5972222222222224E-2</v>
      </c>
      <c r="F34">
        <f t="shared" ref="F34:F65" si="9">VLOOKUP(A34,Calldata,2,0)</f>
        <v>39</v>
      </c>
      <c r="G34" s="9">
        <f t="shared" ref="G34:G65" si="10">VALUE(VLOOKUP(A34,Efficiency,6,0))</f>
        <v>0.60509999999999997</v>
      </c>
    </row>
    <row r="35" spans="1:7" x14ac:dyDescent="0.3">
      <c r="A35" t="str">
        <f>'Break Data'!A35</f>
        <v>Mum_Employee34 (1008534)</v>
      </c>
      <c r="B35" t="str">
        <f t="shared" si="5"/>
        <v>Employee34</v>
      </c>
      <c r="C35" s="5">
        <f t="shared" si="6"/>
        <v>0.30763888888888891</v>
      </c>
      <c r="D35" s="5">
        <f t="shared" si="7"/>
        <v>0.24861111111111112</v>
      </c>
      <c r="E35" s="5">
        <f t="shared" si="8"/>
        <v>7.7083333333333337E-2</v>
      </c>
      <c r="F35">
        <f t="shared" si="9"/>
        <v>38</v>
      </c>
      <c r="G35" s="9">
        <f t="shared" si="10"/>
        <v>0.56030000000000002</v>
      </c>
    </row>
    <row r="36" spans="1:7" x14ac:dyDescent="0.3">
      <c r="A36" t="str">
        <f>'Break Data'!A36</f>
        <v>Mum_Employee35 (1008535)</v>
      </c>
      <c r="B36" t="str">
        <f t="shared" si="5"/>
        <v>Employee35</v>
      </c>
      <c r="C36" s="5">
        <f t="shared" si="6"/>
        <v>0.2951388888888889</v>
      </c>
      <c r="D36" s="5">
        <f t="shared" si="7"/>
        <v>0.21875</v>
      </c>
      <c r="E36" s="5">
        <f t="shared" si="8"/>
        <v>6.8750000000000006E-2</v>
      </c>
      <c r="F36">
        <f t="shared" si="9"/>
        <v>41</v>
      </c>
      <c r="G36" s="9">
        <f t="shared" si="10"/>
        <v>0.41489999999999999</v>
      </c>
    </row>
    <row r="37" spans="1:7" x14ac:dyDescent="0.3">
      <c r="A37" t="str">
        <f>'Break Data'!A37</f>
        <v>Mum_Employee36 (1008536)</v>
      </c>
      <c r="B37" t="str">
        <f t="shared" si="5"/>
        <v>Employee36</v>
      </c>
      <c r="C37" s="5">
        <f t="shared" si="6"/>
        <v>0.34444444444444444</v>
      </c>
      <c r="D37" s="5">
        <f t="shared" si="7"/>
        <v>0.24930555555555556</v>
      </c>
      <c r="E37" s="5">
        <f t="shared" si="8"/>
        <v>6.7361111111111108E-2</v>
      </c>
      <c r="F37">
        <f t="shared" si="9"/>
        <v>31</v>
      </c>
      <c r="G37" s="9">
        <f t="shared" si="10"/>
        <v>0.435</v>
      </c>
    </row>
    <row r="38" spans="1:7" x14ac:dyDescent="0.3">
      <c r="A38" t="str">
        <f>'Break Data'!A38</f>
        <v>Mum_Employee37 (1008537)</v>
      </c>
      <c r="B38" t="str">
        <f t="shared" si="5"/>
        <v>Employee37</v>
      </c>
      <c r="C38" s="5">
        <f t="shared" si="6"/>
        <v>0.29791666666666666</v>
      </c>
      <c r="D38" s="5">
        <f t="shared" si="7"/>
        <v>0.24166666666666667</v>
      </c>
      <c r="E38" s="5">
        <f t="shared" si="8"/>
        <v>5.2083333333333336E-2</v>
      </c>
      <c r="F38">
        <f t="shared" si="9"/>
        <v>60</v>
      </c>
      <c r="G38" s="9">
        <f t="shared" si="10"/>
        <v>0.42709999999999998</v>
      </c>
    </row>
    <row r="39" spans="1:7" x14ac:dyDescent="0.3">
      <c r="A39" t="str">
        <f>'Break Data'!A39</f>
        <v>Mum_Employee38 (1008538)</v>
      </c>
      <c r="B39" t="str">
        <f t="shared" si="5"/>
        <v>Employee38</v>
      </c>
      <c r="C39" s="5">
        <f t="shared" si="6"/>
        <v>0.36666666666666664</v>
      </c>
      <c r="D39" s="5">
        <f t="shared" si="7"/>
        <v>0.18402777777777779</v>
      </c>
      <c r="E39" s="5">
        <f t="shared" si="8"/>
        <v>5.9722222222222225E-2</v>
      </c>
      <c r="F39">
        <f t="shared" si="9"/>
        <v>37</v>
      </c>
      <c r="G39" s="9">
        <f t="shared" si="10"/>
        <v>0.4753</v>
      </c>
    </row>
    <row r="40" spans="1:7" x14ac:dyDescent="0.3">
      <c r="A40" t="str">
        <f>'Break Data'!A40</f>
        <v>Mum_Employee39 (1008539)</v>
      </c>
      <c r="B40" t="str">
        <f t="shared" si="5"/>
        <v>Employee39</v>
      </c>
      <c r="C40" s="5">
        <f t="shared" si="6"/>
        <v>0.32500000000000001</v>
      </c>
      <c r="D40" s="5">
        <f t="shared" si="7"/>
        <v>0.2298611111111111</v>
      </c>
      <c r="E40" s="5">
        <f t="shared" si="8"/>
        <v>5.7638888888888892E-2</v>
      </c>
      <c r="F40">
        <f t="shared" si="9"/>
        <v>56</v>
      </c>
      <c r="G40" s="9">
        <f t="shared" si="10"/>
        <v>0.4879</v>
      </c>
    </row>
    <row r="41" spans="1:7" x14ac:dyDescent="0.3">
      <c r="A41" t="str">
        <f>'Break Data'!A41</f>
        <v>Mum_Employee40 (1008540)</v>
      </c>
      <c r="B41" t="str">
        <f t="shared" si="5"/>
        <v>Employee40</v>
      </c>
      <c r="C41" s="5">
        <f t="shared" si="6"/>
        <v>0.36666666666666664</v>
      </c>
      <c r="D41" s="5">
        <f t="shared" si="7"/>
        <v>0.18263888888888888</v>
      </c>
      <c r="E41" s="5">
        <f t="shared" si="8"/>
        <v>5.0694444444444445E-2</v>
      </c>
      <c r="F41">
        <f t="shared" si="9"/>
        <v>69</v>
      </c>
      <c r="G41" s="9">
        <f t="shared" si="10"/>
        <v>0.58799999999999997</v>
      </c>
    </row>
    <row r="42" spans="1:7" x14ac:dyDescent="0.3">
      <c r="A42" t="str">
        <f>'Break Data'!A42</f>
        <v>Mum_Employee41 (1008541)</v>
      </c>
      <c r="B42" t="str">
        <f t="shared" si="5"/>
        <v>Employee41</v>
      </c>
      <c r="C42" s="5">
        <f t="shared" si="6"/>
        <v>0.34444444444444444</v>
      </c>
      <c r="D42" s="5">
        <f t="shared" si="7"/>
        <v>0.21180555555555555</v>
      </c>
      <c r="E42" s="5">
        <f t="shared" si="8"/>
        <v>5.9722222222222225E-2</v>
      </c>
      <c r="F42">
        <f t="shared" si="9"/>
        <v>114</v>
      </c>
      <c r="G42" s="9">
        <f t="shared" si="10"/>
        <v>0.68010000000000004</v>
      </c>
    </row>
    <row r="43" spans="1:7" x14ac:dyDescent="0.3">
      <c r="A43" t="str">
        <f>'Break Data'!A43</f>
        <v>Mum_Employee42 (1008542)</v>
      </c>
      <c r="B43" t="str">
        <f t="shared" si="5"/>
        <v>Employee42</v>
      </c>
      <c r="C43" s="5">
        <f t="shared" si="6"/>
        <v>0.36458333333333331</v>
      </c>
      <c r="D43" s="5">
        <f t="shared" si="7"/>
        <v>0.20416666666666666</v>
      </c>
      <c r="E43" s="5">
        <f t="shared" si="8"/>
        <v>6.3888888888888884E-2</v>
      </c>
      <c r="F43">
        <f t="shared" si="9"/>
        <v>34</v>
      </c>
      <c r="G43" s="9">
        <f t="shared" si="10"/>
        <v>0.41889999999999999</v>
      </c>
    </row>
    <row r="44" spans="1:7" x14ac:dyDescent="0.3">
      <c r="A44" t="str">
        <f>'Break Data'!A44</f>
        <v>Mum_Employee43 (1008543)</v>
      </c>
      <c r="B44" t="str">
        <f t="shared" si="5"/>
        <v>Employee43</v>
      </c>
      <c r="C44" s="5">
        <f t="shared" si="6"/>
        <v>0.32291666666666669</v>
      </c>
      <c r="D44" s="5">
        <f t="shared" si="7"/>
        <v>0.22500000000000001</v>
      </c>
      <c r="E44" s="5">
        <f t="shared" si="8"/>
        <v>6.6666666666666666E-2</v>
      </c>
      <c r="F44">
        <f t="shared" si="9"/>
        <v>60</v>
      </c>
      <c r="G44" s="9">
        <f t="shared" si="10"/>
        <v>0.4758</v>
      </c>
    </row>
    <row r="45" spans="1:7" x14ac:dyDescent="0.3">
      <c r="A45" t="str">
        <f>'Break Data'!A45</f>
        <v>Mum_Employee44 (1008544)</v>
      </c>
      <c r="B45" t="str">
        <f t="shared" si="5"/>
        <v>Employee44</v>
      </c>
      <c r="C45" s="5">
        <f t="shared" si="6"/>
        <v>0.30069444444444443</v>
      </c>
      <c r="D45" s="5">
        <f t="shared" si="7"/>
        <v>0.17847222222222223</v>
      </c>
      <c r="E45" s="5">
        <f t="shared" si="8"/>
        <v>7.9166666666666663E-2</v>
      </c>
      <c r="F45">
        <f t="shared" si="9"/>
        <v>62</v>
      </c>
      <c r="G45" s="9">
        <f t="shared" si="10"/>
        <v>0.63880000000000003</v>
      </c>
    </row>
    <row r="46" spans="1:7" x14ac:dyDescent="0.3">
      <c r="A46" t="str">
        <f>'Break Data'!A46</f>
        <v>Mum_Employee45 (1008545)</v>
      </c>
      <c r="B46" t="str">
        <f t="shared" si="5"/>
        <v>Employee45</v>
      </c>
      <c r="C46" s="5">
        <f t="shared" si="6"/>
        <v>0.32777777777777778</v>
      </c>
      <c r="D46" s="5">
        <f t="shared" si="7"/>
        <v>0.19027777777777777</v>
      </c>
      <c r="E46" s="5">
        <f t="shared" si="8"/>
        <v>5.486111111111111E-2</v>
      </c>
      <c r="F46">
        <f t="shared" si="9"/>
        <v>51</v>
      </c>
      <c r="G46" s="9">
        <f t="shared" si="10"/>
        <v>0.64239999999999997</v>
      </c>
    </row>
    <row r="47" spans="1:7" x14ac:dyDescent="0.3">
      <c r="A47" t="str">
        <f>'Break Data'!A47</f>
        <v>Mum_Employee46 (1008546)</v>
      </c>
      <c r="B47" t="str">
        <f t="shared" si="5"/>
        <v>Employee46</v>
      </c>
      <c r="C47" s="5">
        <f t="shared" si="6"/>
        <v>0.35486111111111113</v>
      </c>
      <c r="D47" s="5">
        <f t="shared" si="7"/>
        <v>0.18055555555555555</v>
      </c>
      <c r="E47" s="5">
        <f t="shared" si="8"/>
        <v>5.1388888888888887E-2</v>
      </c>
      <c r="F47">
        <f t="shared" si="9"/>
        <v>31</v>
      </c>
      <c r="G47" s="9">
        <f t="shared" si="10"/>
        <v>0.61570000000000003</v>
      </c>
    </row>
    <row r="48" spans="1:7" x14ac:dyDescent="0.3">
      <c r="A48" t="str">
        <f>'Break Data'!A48</f>
        <v>Mum_Employee47 (1008547)</v>
      </c>
      <c r="B48" t="str">
        <f t="shared" si="5"/>
        <v>Employee47</v>
      </c>
      <c r="C48" s="5">
        <f t="shared" si="6"/>
        <v>0.37013888888888891</v>
      </c>
      <c r="D48" s="5">
        <f t="shared" si="7"/>
        <v>0.17708333333333334</v>
      </c>
      <c r="E48" s="5">
        <f t="shared" si="8"/>
        <v>8.0555555555555561E-2</v>
      </c>
      <c r="F48">
        <f t="shared" si="9"/>
        <v>79</v>
      </c>
      <c r="G48" s="9">
        <f t="shared" si="10"/>
        <v>0.57399999999999995</v>
      </c>
    </row>
    <row r="49" spans="1:7" x14ac:dyDescent="0.3">
      <c r="A49" t="str">
        <f>'Break Data'!A49</f>
        <v>Mum_Employee48 (1008548)</v>
      </c>
      <c r="B49" t="str">
        <f t="shared" si="5"/>
        <v>Employee48</v>
      </c>
      <c r="C49" s="5">
        <f t="shared" si="6"/>
        <v>0.34861111111111109</v>
      </c>
      <c r="D49" s="5">
        <f t="shared" si="7"/>
        <v>0.22430555555555556</v>
      </c>
      <c r="E49" s="5">
        <f t="shared" si="8"/>
        <v>6.3194444444444442E-2</v>
      </c>
      <c r="F49">
        <f t="shared" si="9"/>
        <v>61</v>
      </c>
      <c r="G49" s="9">
        <f t="shared" si="10"/>
        <v>0.5081</v>
      </c>
    </row>
    <row r="50" spans="1:7" x14ac:dyDescent="0.3">
      <c r="A50" t="str">
        <f>'Break Data'!A50</f>
        <v>Mum_Employee49 (1008549)</v>
      </c>
      <c r="B50" t="str">
        <f t="shared" si="5"/>
        <v>Employee49</v>
      </c>
      <c r="C50" s="5">
        <f t="shared" si="6"/>
        <v>0.37291666666666667</v>
      </c>
      <c r="D50" s="5">
        <f t="shared" si="7"/>
        <v>0.17916666666666667</v>
      </c>
      <c r="E50" s="5">
        <f t="shared" si="8"/>
        <v>4.9305555555555554E-2</v>
      </c>
      <c r="F50">
        <f t="shared" si="9"/>
        <v>70</v>
      </c>
      <c r="G50" s="9">
        <f t="shared" si="10"/>
        <v>0.69689999999999996</v>
      </c>
    </row>
    <row r="51" spans="1:7" x14ac:dyDescent="0.3">
      <c r="A51" t="str">
        <f>'Break Data'!A51</f>
        <v>Mum_Employee50 (1008550)</v>
      </c>
      <c r="B51" t="str">
        <f t="shared" si="5"/>
        <v>Employee50</v>
      </c>
      <c r="C51" s="5">
        <f t="shared" si="6"/>
        <v>0.30972222222222223</v>
      </c>
      <c r="D51" s="5">
        <f t="shared" si="7"/>
        <v>0.24861111111111112</v>
      </c>
      <c r="E51" s="5">
        <f t="shared" si="8"/>
        <v>5.9027777777777776E-2</v>
      </c>
      <c r="F51">
        <f t="shared" si="9"/>
        <v>25</v>
      </c>
      <c r="G51" s="9">
        <f t="shared" si="10"/>
        <v>0.50829999999999997</v>
      </c>
    </row>
    <row r="52" spans="1:7" x14ac:dyDescent="0.3">
      <c r="A52" t="str">
        <f>'Break Data'!A52</f>
        <v>Mum_Employee51 (1008551)</v>
      </c>
      <c r="B52" t="str">
        <f t="shared" si="5"/>
        <v>Employee51</v>
      </c>
      <c r="C52" s="5">
        <f t="shared" si="6"/>
        <v>0.32777777777777778</v>
      </c>
      <c r="D52" s="5">
        <f t="shared" si="7"/>
        <v>0.17777777777777778</v>
      </c>
      <c r="E52" s="5">
        <f t="shared" si="8"/>
        <v>6.9444444444444448E-2</v>
      </c>
      <c r="F52">
        <f t="shared" si="9"/>
        <v>56</v>
      </c>
      <c r="G52" s="9">
        <f t="shared" si="10"/>
        <v>0.50270000000000004</v>
      </c>
    </row>
    <row r="53" spans="1:7" x14ac:dyDescent="0.3">
      <c r="A53" t="str">
        <f>'Break Data'!A53</f>
        <v>Mum_Employee52 (1008552)</v>
      </c>
      <c r="B53" t="str">
        <f t="shared" si="5"/>
        <v>Employee52</v>
      </c>
      <c r="C53" s="5">
        <f t="shared" si="6"/>
        <v>0.30555555555555558</v>
      </c>
      <c r="D53" s="5">
        <f t="shared" si="7"/>
        <v>0.20277777777777778</v>
      </c>
      <c r="E53" s="5">
        <f t="shared" si="8"/>
        <v>5.5555555555555552E-2</v>
      </c>
      <c r="F53">
        <f t="shared" si="9"/>
        <v>109</v>
      </c>
      <c r="G53" s="9">
        <f t="shared" si="10"/>
        <v>0.62629999999999997</v>
      </c>
    </row>
    <row r="54" spans="1:7" x14ac:dyDescent="0.3">
      <c r="A54" t="str">
        <f>'Break Data'!A54</f>
        <v>Mum_Employee53 (1008553)</v>
      </c>
      <c r="B54" t="str">
        <f t="shared" si="5"/>
        <v>Employee53</v>
      </c>
      <c r="C54" s="5">
        <f t="shared" si="6"/>
        <v>0.31944444444444442</v>
      </c>
      <c r="D54" s="5">
        <f t="shared" si="7"/>
        <v>0.17499999999999999</v>
      </c>
      <c r="E54" s="5">
        <f t="shared" si="8"/>
        <v>7.0833333333333331E-2</v>
      </c>
      <c r="F54">
        <f t="shared" si="9"/>
        <v>101</v>
      </c>
      <c r="G54" s="9">
        <f t="shared" si="10"/>
        <v>0.4284</v>
      </c>
    </row>
    <row r="55" spans="1:7" x14ac:dyDescent="0.3">
      <c r="A55" t="str">
        <f>'Break Data'!A55</f>
        <v>Mum_Employee54 (1008554)</v>
      </c>
      <c r="B55" t="str">
        <f t="shared" si="5"/>
        <v>Employee54</v>
      </c>
      <c r="C55" s="5">
        <f t="shared" si="6"/>
        <v>0.35625000000000001</v>
      </c>
      <c r="D55" s="5">
        <f t="shared" si="7"/>
        <v>0.20555555555555555</v>
      </c>
      <c r="E55" s="5">
        <f t="shared" si="8"/>
        <v>7.013888888888889E-2</v>
      </c>
      <c r="F55">
        <f t="shared" si="9"/>
        <v>96</v>
      </c>
      <c r="G55" s="9">
        <f t="shared" si="10"/>
        <v>0.42649999999999999</v>
      </c>
    </row>
    <row r="56" spans="1:7" x14ac:dyDescent="0.3">
      <c r="A56" t="str">
        <f>'Break Data'!A56</f>
        <v>Mum_Employee55 (1008555)</v>
      </c>
      <c r="B56" t="str">
        <f t="shared" si="5"/>
        <v>Employee55</v>
      </c>
      <c r="C56" s="5">
        <f t="shared" si="6"/>
        <v>0.30138888888888887</v>
      </c>
      <c r="D56" s="5">
        <f t="shared" si="7"/>
        <v>0.21319444444444444</v>
      </c>
      <c r="E56" s="5">
        <f t="shared" si="8"/>
        <v>5.486111111111111E-2</v>
      </c>
      <c r="F56">
        <f t="shared" si="9"/>
        <v>75</v>
      </c>
      <c r="G56" s="9">
        <f t="shared" si="10"/>
        <v>0.5998</v>
      </c>
    </row>
    <row r="57" spans="1:7" x14ac:dyDescent="0.3">
      <c r="A57" t="str">
        <f>'Break Data'!A57</f>
        <v>Mum_Employee56 (1008556)</v>
      </c>
      <c r="B57" t="str">
        <f t="shared" si="5"/>
        <v>Employee56</v>
      </c>
      <c r="C57" s="5">
        <f t="shared" si="6"/>
        <v>0.30763888888888891</v>
      </c>
      <c r="D57" s="5">
        <f t="shared" si="7"/>
        <v>0.2326388888888889</v>
      </c>
      <c r="E57" s="5">
        <f t="shared" si="8"/>
        <v>7.0833333333333331E-2</v>
      </c>
      <c r="F57">
        <f t="shared" si="9"/>
        <v>29</v>
      </c>
      <c r="G57" s="9">
        <f t="shared" si="10"/>
        <v>0.49940000000000001</v>
      </c>
    </row>
    <row r="58" spans="1:7" x14ac:dyDescent="0.3">
      <c r="A58" t="str">
        <f>'Break Data'!A58</f>
        <v>Mum_Employee57 (1008557)</v>
      </c>
      <c r="B58" t="str">
        <f t="shared" si="5"/>
        <v>Employee57</v>
      </c>
      <c r="C58" s="5">
        <f t="shared" si="6"/>
        <v>0.32430555555555557</v>
      </c>
      <c r="D58" s="5">
        <f t="shared" si="7"/>
        <v>0.16944444444444445</v>
      </c>
      <c r="E58" s="5">
        <f t="shared" si="8"/>
        <v>6.8750000000000006E-2</v>
      </c>
      <c r="F58">
        <f t="shared" si="9"/>
        <v>98</v>
      </c>
      <c r="G58" s="9">
        <f t="shared" si="10"/>
        <v>0.67210000000000003</v>
      </c>
    </row>
    <row r="59" spans="1:7" x14ac:dyDescent="0.3">
      <c r="A59" t="str">
        <f>'Break Data'!A59</f>
        <v>Mum_Employee58 (1008558)</v>
      </c>
      <c r="B59" t="str">
        <f t="shared" si="5"/>
        <v>Employee58</v>
      </c>
      <c r="C59" s="5">
        <f t="shared" si="6"/>
        <v>0.33541666666666664</v>
      </c>
      <c r="D59" s="5">
        <f t="shared" si="7"/>
        <v>0.20972222222222223</v>
      </c>
      <c r="E59" s="5">
        <f t="shared" si="8"/>
        <v>6.805555555555555E-2</v>
      </c>
      <c r="F59">
        <f t="shared" si="9"/>
        <v>93</v>
      </c>
      <c r="G59" s="9">
        <f t="shared" si="10"/>
        <v>0.46400000000000002</v>
      </c>
    </row>
    <row r="60" spans="1:7" x14ac:dyDescent="0.3">
      <c r="A60" t="str">
        <f>'Break Data'!A60</f>
        <v>Mum_Employee59 (1008559)</v>
      </c>
      <c r="B60" t="str">
        <f t="shared" si="5"/>
        <v>Employee59</v>
      </c>
      <c r="C60" s="5">
        <f t="shared" si="6"/>
        <v>0.31180555555555556</v>
      </c>
      <c r="D60" s="5">
        <f t="shared" si="7"/>
        <v>0.22638888888888889</v>
      </c>
      <c r="E60" s="5">
        <f t="shared" si="8"/>
        <v>6.25E-2</v>
      </c>
      <c r="F60">
        <f t="shared" si="9"/>
        <v>90</v>
      </c>
      <c r="G60" s="9">
        <f t="shared" si="10"/>
        <v>0.65910000000000002</v>
      </c>
    </row>
    <row r="61" spans="1:7" x14ac:dyDescent="0.3">
      <c r="A61" t="str">
        <f>'Break Data'!A61</f>
        <v>Mum_Employee60 (1008560)</v>
      </c>
      <c r="B61" t="str">
        <f t="shared" si="5"/>
        <v>Employee60</v>
      </c>
      <c r="C61" s="5">
        <f t="shared" si="6"/>
        <v>0.36666666666666664</v>
      </c>
      <c r="D61" s="5">
        <f t="shared" si="7"/>
        <v>0.1673611111111111</v>
      </c>
      <c r="E61" s="5">
        <f t="shared" si="8"/>
        <v>5.9722222222222225E-2</v>
      </c>
      <c r="F61">
        <f t="shared" si="9"/>
        <v>23</v>
      </c>
      <c r="G61" s="9">
        <f t="shared" si="10"/>
        <v>0.41660000000000003</v>
      </c>
    </row>
    <row r="62" spans="1:7" x14ac:dyDescent="0.3">
      <c r="A62" t="str">
        <f>'Break Data'!A62</f>
        <v>Mum_Employee61 (1008561)</v>
      </c>
      <c r="B62" t="str">
        <f t="shared" si="5"/>
        <v>Employee61</v>
      </c>
      <c r="C62" s="5">
        <f t="shared" si="6"/>
        <v>0.31041666666666667</v>
      </c>
      <c r="D62" s="5">
        <f t="shared" si="7"/>
        <v>0.20277777777777778</v>
      </c>
      <c r="E62" s="5">
        <f t="shared" si="8"/>
        <v>7.1527777777777773E-2</v>
      </c>
      <c r="F62">
        <f t="shared" si="9"/>
        <v>84</v>
      </c>
      <c r="G62" s="9">
        <f t="shared" si="10"/>
        <v>0.57420000000000004</v>
      </c>
    </row>
    <row r="63" spans="1:7" x14ac:dyDescent="0.3">
      <c r="A63" t="str">
        <f>'Break Data'!A63</f>
        <v>Mum_Employee62 (1008562)</v>
      </c>
      <c r="B63" t="str">
        <f t="shared" si="5"/>
        <v>Employee62</v>
      </c>
      <c r="C63" s="5">
        <f t="shared" si="6"/>
        <v>0.3659722222222222</v>
      </c>
      <c r="D63" s="5">
        <f t="shared" si="7"/>
        <v>0.23680555555555555</v>
      </c>
      <c r="E63" s="5">
        <f t="shared" si="8"/>
        <v>6.805555555555555E-2</v>
      </c>
      <c r="F63">
        <f t="shared" si="9"/>
        <v>24</v>
      </c>
      <c r="G63" s="9">
        <f t="shared" si="10"/>
        <v>0.41489999999999999</v>
      </c>
    </row>
    <row r="64" spans="1:7" x14ac:dyDescent="0.3">
      <c r="A64" t="str">
        <f>'Break Data'!A64</f>
        <v>Mum_Employee63 (1008563)</v>
      </c>
      <c r="B64" t="str">
        <f t="shared" si="5"/>
        <v>Employee63</v>
      </c>
      <c r="C64" s="5">
        <f t="shared" si="6"/>
        <v>0.31597222222222221</v>
      </c>
      <c r="D64" s="5">
        <f t="shared" si="7"/>
        <v>0.21249999999999999</v>
      </c>
      <c r="E64" s="5">
        <f t="shared" si="8"/>
        <v>6.1805555555555558E-2</v>
      </c>
      <c r="F64">
        <f t="shared" si="9"/>
        <v>54</v>
      </c>
      <c r="G64" s="9">
        <f t="shared" si="10"/>
        <v>0.60589999999999999</v>
      </c>
    </row>
    <row r="65" spans="1:7" x14ac:dyDescent="0.3">
      <c r="A65" t="str">
        <f>'Break Data'!A65</f>
        <v>Mum_Employee64 (1008564)</v>
      </c>
      <c r="B65" t="str">
        <f t="shared" si="5"/>
        <v>Employee64</v>
      </c>
      <c r="C65" s="5">
        <f t="shared" si="6"/>
        <v>0.34791666666666665</v>
      </c>
      <c r="D65" s="5">
        <f t="shared" si="7"/>
        <v>0.20833333333333334</v>
      </c>
      <c r="E65" s="5">
        <f t="shared" si="8"/>
        <v>7.013888888888889E-2</v>
      </c>
      <c r="F65">
        <f t="shared" si="9"/>
        <v>107</v>
      </c>
      <c r="G65" s="9">
        <f t="shared" si="10"/>
        <v>0.48080000000000001</v>
      </c>
    </row>
    <row r="66" spans="1:7" x14ac:dyDescent="0.3">
      <c r="A66" t="str">
        <f>'Break Data'!A66</f>
        <v>Mum_Employee65 (1008565)</v>
      </c>
      <c r="B66" t="str">
        <f t="shared" si="5"/>
        <v>Employee65</v>
      </c>
      <c r="C66" s="5">
        <f t="shared" ref="C66:C97" si="11">TIMEVALUE(VLOOKUP(A66,Efficiency,2,0))</f>
        <v>0.33402777777777776</v>
      </c>
      <c r="D66" s="5">
        <f t="shared" ref="D66:D97" si="12">TIMEVALUE(VLOOKUP(A66,Efficiency,3,0))</f>
        <v>0.24236111111111111</v>
      </c>
      <c r="E66" s="5">
        <f t="shared" ref="E66:E97" si="13">TIMEVALUE(VLOOKUP(A66,Breakdata,9,0))</f>
        <v>5.2777777777777778E-2</v>
      </c>
      <c r="F66">
        <f t="shared" ref="F66:F97" si="14">VLOOKUP(A66,Calldata,2,0)</f>
        <v>76</v>
      </c>
      <c r="G66" s="9">
        <f t="shared" ref="G66:G97" si="15">VALUE(VLOOKUP(A66,Efficiency,6,0))</f>
        <v>0.59899999999999998</v>
      </c>
    </row>
    <row r="67" spans="1:7" x14ac:dyDescent="0.3">
      <c r="A67" t="str">
        <f>'Break Data'!A67</f>
        <v>Mum_Employee66 (1008566)</v>
      </c>
      <c r="B67" t="str">
        <f t="shared" ref="B67:B130" si="16">MID(A67,FIND("_",A67,1)+1,FIND("(",A67,1)-FIND("_",A67,1)-2)</f>
        <v>Employee66</v>
      </c>
      <c r="C67" s="5">
        <f t="shared" si="11"/>
        <v>0.30763888888888891</v>
      </c>
      <c r="D67" s="5">
        <f t="shared" si="12"/>
        <v>0.24930555555555556</v>
      </c>
      <c r="E67" s="5">
        <f t="shared" si="13"/>
        <v>5.6944444444444443E-2</v>
      </c>
      <c r="F67">
        <f t="shared" si="14"/>
        <v>31</v>
      </c>
      <c r="G67" s="9">
        <f t="shared" si="15"/>
        <v>0.43240000000000001</v>
      </c>
    </row>
    <row r="68" spans="1:7" x14ac:dyDescent="0.3">
      <c r="A68" t="str">
        <f>'Break Data'!A68</f>
        <v>Mum_Employee67 (1008567)</v>
      </c>
      <c r="B68" t="str">
        <f t="shared" si="16"/>
        <v>Employee67</v>
      </c>
      <c r="C68" s="5">
        <f t="shared" si="11"/>
        <v>0.30694444444444446</v>
      </c>
      <c r="D68" s="5">
        <f t="shared" si="12"/>
        <v>0.24791666666666667</v>
      </c>
      <c r="E68" s="5">
        <f t="shared" si="13"/>
        <v>5.9722222222222225E-2</v>
      </c>
      <c r="F68">
        <f t="shared" si="14"/>
        <v>23</v>
      </c>
      <c r="G68" s="9">
        <f t="shared" si="15"/>
        <v>0.50139999999999996</v>
      </c>
    </row>
    <row r="69" spans="1:7" x14ac:dyDescent="0.3">
      <c r="A69" t="str">
        <f>'Break Data'!A69</f>
        <v>Mum_Employee68 (1008568)</v>
      </c>
      <c r="B69" t="str">
        <f t="shared" si="16"/>
        <v>Employee68</v>
      </c>
      <c r="C69" s="5">
        <f t="shared" si="11"/>
        <v>0.36527777777777776</v>
      </c>
      <c r="D69" s="5">
        <f t="shared" si="12"/>
        <v>0.21249999999999999</v>
      </c>
      <c r="E69" s="5">
        <f t="shared" si="13"/>
        <v>8.0555555555555561E-2</v>
      </c>
      <c r="F69">
        <f t="shared" si="14"/>
        <v>107</v>
      </c>
      <c r="G69" s="9">
        <f t="shared" si="15"/>
        <v>0.4345</v>
      </c>
    </row>
    <row r="70" spans="1:7" x14ac:dyDescent="0.3">
      <c r="A70" t="str">
        <f>'Break Data'!A70</f>
        <v>Mum_Employee69 (1008569)</v>
      </c>
      <c r="B70" t="str">
        <f t="shared" si="16"/>
        <v>Employee69</v>
      </c>
      <c r="C70" s="5">
        <f t="shared" si="11"/>
        <v>0.29652777777777778</v>
      </c>
      <c r="D70" s="5">
        <f t="shared" si="12"/>
        <v>0.20555555555555555</v>
      </c>
      <c r="E70" s="5">
        <f t="shared" si="13"/>
        <v>6.6666666666666666E-2</v>
      </c>
      <c r="F70">
        <f t="shared" si="14"/>
        <v>78</v>
      </c>
      <c r="G70" s="9">
        <f t="shared" si="15"/>
        <v>0.61209999999999998</v>
      </c>
    </row>
    <row r="71" spans="1:7" x14ac:dyDescent="0.3">
      <c r="A71" t="str">
        <f>'Break Data'!A71</f>
        <v>Mum_Employee70 (1008570)</v>
      </c>
      <c r="B71" t="str">
        <f t="shared" si="16"/>
        <v>Employee70</v>
      </c>
      <c r="C71" s="5">
        <f t="shared" si="11"/>
        <v>0.31736111111111109</v>
      </c>
      <c r="D71" s="5">
        <f t="shared" si="12"/>
        <v>0.22222222222222221</v>
      </c>
      <c r="E71" s="5">
        <f t="shared" si="13"/>
        <v>8.1250000000000003E-2</v>
      </c>
      <c r="F71">
        <f t="shared" si="14"/>
        <v>66</v>
      </c>
      <c r="G71" s="9">
        <f t="shared" si="15"/>
        <v>0.66169999999999995</v>
      </c>
    </row>
    <row r="72" spans="1:7" x14ac:dyDescent="0.3">
      <c r="A72" t="str">
        <f>'Break Data'!A72</f>
        <v>Mum_Employee71 (1008571)</v>
      </c>
      <c r="B72" t="str">
        <f t="shared" si="16"/>
        <v>Employee71</v>
      </c>
      <c r="C72" s="5">
        <f t="shared" si="11"/>
        <v>0.29791666666666666</v>
      </c>
      <c r="D72" s="5">
        <f t="shared" si="12"/>
        <v>0.21388888888888888</v>
      </c>
      <c r="E72" s="5">
        <f t="shared" si="13"/>
        <v>6.8750000000000006E-2</v>
      </c>
      <c r="F72">
        <f t="shared" si="14"/>
        <v>97</v>
      </c>
      <c r="G72" s="9">
        <f t="shared" si="15"/>
        <v>0.51490000000000002</v>
      </c>
    </row>
    <row r="73" spans="1:7" x14ac:dyDescent="0.3">
      <c r="A73" t="str">
        <f>'Break Data'!A73</f>
        <v>Mum_Employee72 (1008572)</v>
      </c>
      <c r="B73" t="str">
        <f t="shared" si="16"/>
        <v>Employee72</v>
      </c>
      <c r="C73" s="5">
        <f t="shared" si="11"/>
        <v>0.32708333333333334</v>
      </c>
      <c r="D73" s="5">
        <f t="shared" si="12"/>
        <v>0.24166666666666667</v>
      </c>
      <c r="E73" s="5">
        <f t="shared" si="13"/>
        <v>6.458333333333334E-2</v>
      </c>
      <c r="F73">
        <f t="shared" si="14"/>
        <v>73</v>
      </c>
      <c r="G73" s="9">
        <f t="shared" si="15"/>
        <v>0.61209999999999998</v>
      </c>
    </row>
    <row r="74" spans="1:7" x14ac:dyDescent="0.3">
      <c r="A74" t="str">
        <f>'Break Data'!A74</f>
        <v>Mum_Employee73 (1008573)</v>
      </c>
      <c r="B74" t="str">
        <f t="shared" si="16"/>
        <v>Employee73</v>
      </c>
      <c r="C74" s="5">
        <f t="shared" si="11"/>
        <v>0.30138888888888887</v>
      </c>
      <c r="D74" s="5">
        <f t="shared" si="12"/>
        <v>0.21944444444444444</v>
      </c>
      <c r="E74" s="5">
        <f t="shared" si="13"/>
        <v>6.8750000000000006E-2</v>
      </c>
      <c r="F74">
        <f t="shared" si="14"/>
        <v>31</v>
      </c>
      <c r="G74" s="9">
        <f t="shared" si="15"/>
        <v>0.55220000000000002</v>
      </c>
    </row>
    <row r="75" spans="1:7" x14ac:dyDescent="0.3">
      <c r="A75" t="str">
        <f>'Break Data'!A75</f>
        <v>Mum_Employee74 (1008574)</v>
      </c>
      <c r="B75" t="str">
        <f t="shared" si="16"/>
        <v>Employee74</v>
      </c>
      <c r="C75" s="5">
        <f t="shared" si="11"/>
        <v>0.32083333333333336</v>
      </c>
      <c r="D75" s="5">
        <f t="shared" si="12"/>
        <v>0.23125000000000001</v>
      </c>
      <c r="E75" s="5">
        <f t="shared" si="13"/>
        <v>5.9027777777777776E-2</v>
      </c>
      <c r="F75">
        <f t="shared" si="14"/>
        <v>58</v>
      </c>
      <c r="G75" s="9">
        <f t="shared" si="15"/>
        <v>0.61360000000000003</v>
      </c>
    </row>
    <row r="76" spans="1:7" x14ac:dyDescent="0.3">
      <c r="A76" t="str">
        <f>'Break Data'!A76</f>
        <v>Mum_Employee75 (1008575)</v>
      </c>
      <c r="B76" t="str">
        <f t="shared" si="16"/>
        <v>Employee75</v>
      </c>
      <c r="C76" s="5">
        <f t="shared" si="11"/>
        <v>0.32569444444444445</v>
      </c>
      <c r="D76" s="5">
        <f t="shared" si="12"/>
        <v>0.22847222222222222</v>
      </c>
      <c r="E76" s="5">
        <f t="shared" si="13"/>
        <v>7.013888888888889E-2</v>
      </c>
      <c r="F76">
        <f t="shared" si="14"/>
        <v>120</v>
      </c>
      <c r="G76" s="9">
        <f t="shared" si="15"/>
        <v>0.40660000000000002</v>
      </c>
    </row>
    <row r="77" spans="1:7" x14ac:dyDescent="0.3">
      <c r="A77" t="str">
        <f>'Break Data'!A77</f>
        <v>Hyd_Employee76 (1008576)</v>
      </c>
      <c r="B77" t="str">
        <f t="shared" si="16"/>
        <v>Employee76</v>
      </c>
      <c r="C77" s="5">
        <f t="shared" si="11"/>
        <v>0.3347222222222222</v>
      </c>
      <c r="D77" s="5">
        <f t="shared" si="12"/>
        <v>0.24027777777777778</v>
      </c>
      <c r="E77" s="5">
        <f t="shared" si="13"/>
        <v>6.458333333333334E-2</v>
      </c>
      <c r="F77">
        <f t="shared" si="14"/>
        <v>82</v>
      </c>
      <c r="G77" s="9">
        <f t="shared" si="15"/>
        <v>0.65239999999999998</v>
      </c>
    </row>
    <row r="78" spans="1:7" x14ac:dyDescent="0.3">
      <c r="A78" t="str">
        <f>'Break Data'!A78</f>
        <v>Hyd_Employee77 (1008577)</v>
      </c>
      <c r="B78" t="str">
        <f t="shared" si="16"/>
        <v>Employee77</v>
      </c>
      <c r="C78" s="5">
        <f t="shared" si="11"/>
        <v>0.36527777777777776</v>
      </c>
      <c r="D78" s="5">
        <f t="shared" si="12"/>
        <v>0.17083333333333334</v>
      </c>
      <c r="E78" s="5">
        <f t="shared" si="13"/>
        <v>7.2916666666666671E-2</v>
      </c>
      <c r="F78">
        <f t="shared" si="14"/>
        <v>34</v>
      </c>
      <c r="G78" s="9">
        <f t="shared" si="15"/>
        <v>0.53220000000000001</v>
      </c>
    </row>
    <row r="79" spans="1:7" x14ac:dyDescent="0.3">
      <c r="A79" t="str">
        <f>'Break Data'!A79</f>
        <v>Hyd_Employee78 (1008578)</v>
      </c>
      <c r="B79" t="str">
        <f t="shared" si="16"/>
        <v>Employee78</v>
      </c>
      <c r="C79" s="5">
        <f t="shared" si="11"/>
        <v>0.34652777777777777</v>
      </c>
      <c r="D79" s="5">
        <f t="shared" si="12"/>
        <v>0.25</v>
      </c>
      <c r="E79" s="5">
        <f t="shared" si="13"/>
        <v>6.805555555555555E-2</v>
      </c>
      <c r="F79">
        <f t="shared" si="14"/>
        <v>47</v>
      </c>
      <c r="G79" s="9">
        <f t="shared" si="15"/>
        <v>0.49559999999999998</v>
      </c>
    </row>
    <row r="80" spans="1:7" x14ac:dyDescent="0.3">
      <c r="A80" t="str">
        <f>'Break Data'!A80</f>
        <v>Hyd_Employee79 (1008579)</v>
      </c>
      <c r="B80" t="str">
        <f t="shared" si="16"/>
        <v>Employee79</v>
      </c>
      <c r="C80" s="5">
        <f t="shared" si="11"/>
        <v>0.36736111111111114</v>
      </c>
      <c r="D80" s="5">
        <f t="shared" si="12"/>
        <v>0.21944444444444444</v>
      </c>
      <c r="E80" s="5">
        <f t="shared" si="13"/>
        <v>7.2916666666666671E-2</v>
      </c>
      <c r="F80">
        <f t="shared" si="14"/>
        <v>104</v>
      </c>
      <c r="G80" s="9">
        <f t="shared" si="15"/>
        <v>0.49669999999999997</v>
      </c>
    </row>
    <row r="81" spans="1:7" x14ac:dyDescent="0.3">
      <c r="A81" t="str">
        <f>'Break Data'!A81</f>
        <v>Hyd_Employee80 (1008580)</v>
      </c>
      <c r="B81" t="str">
        <f t="shared" si="16"/>
        <v>Employee80</v>
      </c>
      <c r="C81" s="5">
        <f t="shared" si="11"/>
        <v>0.36249999999999999</v>
      </c>
      <c r="D81" s="5">
        <f t="shared" si="12"/>
        <v>0.24166666666666667</v>
      </c>
      <c r="E81" s="5">
        <f t="shared" si="13"/>
        <v>7.1527777777777773E-2</v>
      </c>
      <c r="F81">
        <f t="shared" si="14"/>
        <v>63</v>
      </c>
      <c r="G81" s="9">
        <f t="shared" si="15"/>
        <v>0.6643</v>
      </c>
    </row>
    <row r="82" spans="1:7" x14ac:dyDescent="0.3">
      <c r="A82" t="str">
        <f>'Break Data'!A82</f>
        <v>Hyd_Employee81 (1008581)</v>
      </c>
      <c r="B82" t="str">
        <f t="shared" si="16"/>
        <v>Employee81</v>
      </c>
      <c r="C82" s="5">
        <f t="shared" si="11"/>
        <v>0.31527777777777777</v>
      </c>
      <c r="D82" s="5">
        <f t="shared" si="12"/>
        <v>0.1701388888888889</v>
      </c>
      <c r="E82" s="5">
        <f t="shared" si="13"/>
        <v>8.6805555555555552E-2</v>
      </c>
      <c r="F82">
        <f t="shared" si="14"/>
        <v>62</v>
      </c>
      <c r="G82" s="9">
        <f t="shared" si="15"/>
        <v>0.59409999999999996</v>
      </c>
    </row>
    <row r="83" spans="1:7" x14ac:dyDescent="0.3">
      <c r="A83" t="str">
        <f>'Break Data'!A83</f>
        <v>Hyd_Employee82 (1008582)</v>
      </c>
      <c r="B83" t="str">
        <f t="shared" si="16"/>
        <v>Employee82</v>
      </c>
      <c r="C83" s="5">
        <f t="shared" si="11"/>
        <v>0.31874999999999998</v>
      </c>
      <c r="D83" s="5">
        <f t="shared" si="12"/>
        <v>0.18541666666666667</v>
      </c>
      <c r="E83" s="5">
        <f t="shared" si="13"/>
        <v>7.3611111111111113E-2</v>
      </c>
      <c r="F83">
        <f t="shared" si="14"/>
        <v>116</v>
      </c>
      <c r="G83" s="9">
        <f t="shared" si="15"/>
        <v>0.49869999999999998</v>
      </c>
    </row>
    <row r="84" spans="1:7" x14ac:dyDescent="0.3">
      <c r="A84" t="str">
        <f>'Break Data'!A84</f>
        <v>Hyd_Employee83 (1008583)</v>
      </c>
      <c r="B84" t="str">
        <f t="shared" si="16"/>
        <v>Employee83</v>
      </c>
      <c r="C84" s="5">
        <f t="shared" si="11"/>
        <v>0.35902777777777778</v>
      </c>
      <c r="D84" s="5">
        <f t="shared" si="12"/>
        <v>0.20277777777777778</v>
      </c>
      <c r="E84" s="5">
        <f t="shared" si="13"/>
        <v>7.4999999999999997E-2</v>
      </c>
      <c r="F84">
        <f t="shared" si="14"/>
        <v>71</v>
      </c>
      <c r="G84" s="9">
        <f t="shared" si="15"/>
        <v>0.48749999999999999</v>
      </c>
    </row>
    <row r="85" spans="1:7" x14ac:dyDescent="0.3">
      <c r="A85" t="str">
        <f>'Break Data'!A85</f>
        <v>Hyd_Employee84 (1008584)</v>
      </c>
      <c r="B85" t="str">
        <f t="shared" si="16"/>
        <v>Employee84</v>
      </c>
      <c r="C85" s="5">
        <f t="shared" si="11"/>
        <v>0.35069444444444442</v>
      </c>
      <c r="D85" s="5">
        <f t="shared" si="12"/>
        <v>0.18680555555555556</v>
      </c>
      <c r="E85" s="5">
        <f t="shared" si="13"/>
        <v>6.1805555555555558E-2</v>
      </c>
      <c r="F85">
        <f t="shared" si="14"/>
        <v>115</v>
      </c>
      <c r="G85" s="9">
        <f t="shared" si="15"/>
        <v>0.67679999999999996</v>
      </c>
    </row>
    <row r="86" spans="1:7" x14ac:dyDescent="0.3">
      <c r="A86" t="str">
        <f>'Break Data'!A86</f>
        <v>Hyd_Employee85 (1008585)</v>
      </c>
      <c r="B86" t="str">
        <f t="shared" si="16"/>
        <v>Employee85</v>
      </c>
      <c r="C86" s="5">
        <f t="shared" si="11"/>
        <v>0.32708333333333334</v>
      </c>
      <c r="D86" s="5">
        <f t="shared" si="12"/>
        <v>0.19375000000000001</v>
      </c>
      <c r="E86" s="5">
        <f t="shared" si="13"/>
        <v>5.5555555555555552E-2</v>
      </c>
      <c r="F86">
        <f t="shared" si="14"/>
        <v>84</v>
      </c>
      <c r="G86" s="9">
        <f t="shared" si="15"/>
        <v>0.54279999999999995</v>
      </c>
    </row>
    <row r="87" spans="1:7" x14ac:dyDescent="0.3">
      <c r="A87" t="str">
        <f>'Break Data'!A87</f>
        <v>Hyd_Employee86 (1008586)</v>
      </c>
      <c r="B87" t="str">
        <f t="shared" si="16"/>
        <v>Employee86</v>
      </c>
      <c r="C87" s="5">
        <f t="shared" si="11"/>
        <v>0.34305555555555556</v>
      </c>
      <c r="D87" s="5">
        <f t="shared" si="12"/>
        <v>0.17986111111111111</v>
      </c>
      <c r="E87" s="5">
        <f t="shared" si="13"/>
        <v>5.9722222222222225E-2</v>
      </c>
      <c r="F87">
        <f t="shared" si="14"/>
        <v>115</v>
      </c>
      <c r="G87" s="9">
        <f t="shared" si="15"/>
        <v>0.56769999999999998</v>
      </c>
    </row>
    <row r="88" spans="1:7" x14ac:dyDescent="0.3">
      <c r="A88" t="str">
        <f>'Break Data'!A88</f>
        <v>Hyd_Employee87 (1008587)</v>
      </c>
      <c r="B88" t="str">
        <f t="shared" si="16"/>
        <v>Employee87</v>
      </c>
      <c r="C88" s="5">
        <f t="shared" si="11"/>
        <v>0.3347222222222222</v>
      </c>
      <c r="D88" s="5">
        <f t="shared" si="12"/>
        <v>0.23055555555555557</v>
      </c>
      <c r="E88" s="5">
        <f t="shared" si="13"/>
        <v>6.458333333333334E-2</v>
      </c>
      <c r="F88">
        <f t="shared" si="14"/>
        <v>90</v>
      </c>
      <c r="G88" s="9">
        <f t="shared" si="15"/>
        <v>0.60099999999999998</v>
      </c>
    </row>
    <row r="89" spans="1:7" x14ac:dyDescent="0.3">
      <c r="A89" t="str">
        <f>'Break Data'!A89</f>
        <v>Hyd_Employee88 (1008588)</v>
      </c>
      <c r="B89" t="str">
        <f t="shared" si="16"/>
        <v>Employee88</v>
      </c>
      <c r="C89" s="5">
        <f t="shared" si="11"/>
        <v>0.36527777777777776</v>
      </c>
      <c r="D89" s="5">
        <f t="shared" si="12"/>
        <v>0.19097222222222221</v>
      </c>
      <c r="E89" s="5">
        <f t="shared" si="13"/>
        <v>6.1805555555555558E-2</v>
      </c>
      <c r="F89">
        <f t="shared" si="14"/>
        <v>78</v>
      </c>
      <c r="G89" s="9">
        <f t="shared" si="15"/>
        <v>0.49209999999999998</v>
      </c>
    </row>
    <row r="90" spans="1:7" x14ac:dyDescent="0.3">
      <c r="A90" t="str">
        <f>'Break Data'!A90</f>
        <v>Hyd_Employee89 (1008589)</v>
      </c>
      <c r="B90" t="str">
        <f t="shared" si="16"/>
        <v>Employee89</v>
      </c>
      <c r="C90" s="5">
        <f t="shared" si="11"/>
        <v>0.34375</v>
      </c>
      <c r="D90" s="5">
        <f t="shared" si="12"/>
        <v>0.24930555555555556</v>
      </c>
      <c r="E90" s="5">
        <f t="shared" si="13"/>
        <v>7.2222222222222215E-2</v>
      </c>
      <c r="F90">
        <f t="shared" si="14"/>
        <v>115</v>
      </c>
      <c r="G90" s="9">
        <f t="shared" si="15"/>
        <v>0.60209999999999997</v>
      </c>
    </row>
    <row r="91" spans="1:7" x14ac:dyDescent="0.3">
      <c r="A91" t="str">
        <f>'Break Data'!A91</f>
        <v>Hyd_Employee90 (1008590)</v>
      </c>
      <c r="B91" t="str">
        <f t="shared" si="16"/>
        <v>Employee90</v>
      </c>
      <c r="C91" s="5">
        <f t="shared" si="11"/>
        <v>0.32083333333333336</v>
      </c>
      <c r="D91" s="5">
        <f t="shared" si="12"/>
        <v>0.19166666666666668</v>
      </c>
      <c r="E91" s="5">
        <f t="shared" si="13"/>
        <v>7.9166666666666663E-2</v>
      </c>
      <c r="F91">
        <f t="shared" si="14"/>
        <v>31</v>
      </c>
      <c r="G91" s="9">
        <f t="shared" si="15"/>
        <v>0.42809999999999998</v>
      </c>
    </row>
    <row r="92" spans="1:7" x14ac:dyDescent="0.3">
      <c r="A92" t="str">
        <f>'Break Data'!A92</f>
        <v>Hyd_Employee91 (1008591)</v>
      </c>
      <c r="B92" t="str">
        <f t="shared" si="16"/>
        <v>Employee91</v>
      </c>
      <c r="C92" s="5">
        <f t="shared" si="11"/>
        <v>0.3611111111111111</v>
      </c>
      <c r="D92" s="5">
        <f t="shared" si="12"/>
        <v>0.18611111111111112</v>
      </c>
      <c r="E92" s="5">
        <f t="shared" si="13"/>
        <v>7.6388888888888895E-2</v>
      </c>
      <c r="F92">
        <f t="shared" si="14"/>
        <v>100</v>
      </c>
      <c r="G92" s="9">
        <f t="shared" si="15"/>
        <v>0.61739999999999995</v>
      </c>
    </row>
    <row r="93" spans="1:7" x14ac:dyDescent="0.3">
      <c r="A93" t="str">
        <f>'Break Data'!A93</f>
        <v>Hyd_Employee92 (1008592)</v>
      </c>
      <c r="B93" t="str">
        <f t="shared" si="16"/>
        <v>Employee92</v>
      </c>
      <c r="C93" s="5">
        <f t="shared" si="11"/>
        <v>0.36319444444444443</v>
      </c>
      <c r="D93" s="5">
        <f t="shared" si="12"/>
        <v>0.20208333333333334</v>
      </c>
      <c r="E93" s="5">
        <f t="shared" si="13"/>
        <v>6.3888888888888884E-2</v>
      </c>
      <c r="F93">
        <f t="shared" si="14"/>
        <v>31</v>
      </c>
      <c r="G93" s="9">
        <f t="shared" si="15"/>
        <v>0.66539999999999999</v>
      </c>
    </row>
    <row r="94" spans="1:7" x14ac:dyDescent="0.3">
      <c r="A94" t="str">
        <f>'Break Data'!A94</f>
        <v>Hyd_Employee93 (1008593)</v>
      </c>
      <c r="B94" t="str">
        <f t="shared" si="16"/>
        <v>Employee93</v>
      </c>
      <c r="C94" s="5">
        <f t="shared" si="11"/>
        <v>0.31874999999999998</v>
      </c>
      <c r="D94" s="5">
        <f t="shared" si="12"/>
        <v>0.19930555555555557</v>
      </c>
      <c r="E94" s="5">
        <f t="shared" si="13"/>
        <v>7.6388888888888895E-2</v>
      </c>
      <c r="F94">
        <f t="shared" si="14"/>
        <v>66</v>
      </c>
      <c r="G94" s="9">
        <f t="shared" si="15"/>
        <v>0.63890000000000002</v>
      </c>
    </row>
    <row r="95" spans="1:7" x14ac:dyDescent="0.3">
      <c r="A95" t="str">
        <f>'Break Data'!A95</f>
        <v>Hyd_Employee94 (1008594)</v>
      </c>
      <c r="B95" t="str">
        <f t="shared" si="16"/>
        <v>Employee94</v>
      </c>
      <c r="C95" s="5">
        <f t="shared" si="11"/>
        <v>0.31874999999999998</v>
      </c>
      <c r="D95" s="5">
        <f t="shared" si="12"/>
        <v>0.24236111111111111</v>
      </c>
      <c r="E95" s="5">
        <f t="shared" si="13"/>
        <v>6.6666666666666666E-2</v>
      </c>
      <c r="F95">
        <f t="shared" si="14"/>
        <v>104</v>
      </c>
      <c r="G95" s="9">
        <f t="shared" si="15"/>
        <v>0.44059999999999999</v>
      </c>
    </row>
    <row r="96" spans="1:7" x14ac:dyDescent="0.3">
      <c r="A96" t="str">
        <f>'Break Data'!A96</f>
        <v>Hyd_Employee95 (1008595)</v>
      </c>
      <c r="B96" t="str">
        <f t="shared" si="16"/>
        <v>Employee95</v>
      </c>
      <c r="C96" s="5">
        <f t="shared" si="11"/>
        <v>0.37361111111111112</v>
      </c>
      <c r="D96" s="5">
        <f t="shared" si="12"/>
        <v>0.2298611111111111</v>
      </c>
      <c r="E96" s="5">
        <f t="shared" si="13"/>
        <v>6.458333333333334E-2</v>
      </c>
      <c r="F96">
        <f t="shared" si="14"/>
        <v>36</v>
      </c>
      <c r="G96" s="9">
        <f t="shared" si="15"/>
        <v>0.62680000000000002</v>
      </c>
    </row>
    <row r="97" spans="1:7" x14ac:dyDescent="0.3">
      <c r="A97" t="str">
        <f>'Break Data'!A97</f>
        <v>Hyd_Employee96 (1008596)</v>
      </c>
      <c r="B97" t="str">
        <f t="shared" si="16"/>
        <v>Employee96</v>
      </c>
      <c r="C97" s="5">
        <f t="shared" si="11"/>
        <v>0.35347222222222224</v>
      </c>
      <c r="D97" s="5">
        <f t="shared" si="12"/>
        <v>0.21249999999999999</v>
      </c>
      <c r="E97" s="5">
        <f t="shared" si="13"/>
        <v>7.1527777777777773E-2</v>
      </c>
      <c r="F97">
        <f t="shared" si="14"/>
        <v>104</v>
      </c>
      <c r="G97" s="9">
        <f t="shared" si="15"/>
        <v>0.69379999999999997</v>
      </c>
    </row>
    <row r="98" spans="1:7" x14ac:dyDescent="0.3">
      <c r="A98" t="str">
        <f>'Break Data'!A98</f>
        <v>Hyd_Employee97 (1008597)</v>
      </c>
      <c r="B98" t="str">
        <f t="shared" si="16"/>
        <v>Employee97</v>
      </c>
      <c r="C98" s="5">
        <f t="shared" ref="C98:C129" si="17">TIMEVALUE(VLOOKUP(A98,Efficiency,2,0))</f>
        <v>0.33124999999999999</v>
      </c>
      <c r="D98" s="5">
        <f t="shared" ref="D98:D129" si="18">TIMEVALUE(VLOOKUP(A98,Efficiency,3,0))</f>
        <v>0.17291666666666666</v>
      </c>
      <c r="E98" s="5">
        <f t="shared" ref="E98:E129" si="19">TIMEVALUE(VLOOKUP(A98,Breakdata,9,0))</f>
        <v>6.5277777777777782E-2</v>
      </c>
      <c r="F98">
        <f t="shared" ref="F98:F129" si="20">VLOOKUP(A98,Calldata,2,0)</f>
        <v>39</v>
      </c>
      <c r="G98" s="9">
        <f t="shared" ref="G98:G129" si="21">VALUE(VLOOKUP(A98,Efficiency,6,0))</f>
        <v>0.64770000000000005</v>
      </c>
    </row>
    <row r="99" spans="1:7" x14ac:dyDescent="0.3">
      <c r="A99" t="str">
        <f>'Break Data'!A99</f>
        <v>Hyd_Employee98 (1008598)</v>
      </c>
      <c r="B99" t="str">
        <f t="shared" si="16"/>
        <v>Employee98</v>
      </c>
      <c r="C99" s="5">
        <f t="shared" si="17"/>
        <v>0.36249999999999999</v>
      </c>
      <c r="D99" s="5">
        <f t="shared" si="18"/>
        <v>0.23749999999999999</v>
      </c>
      <c r="E99" s="5">
        <f t="shared" si="19"/>
        <v>6.7361111111111108E-2</v>
      </c>
      <c r="F99">
        <f t="shared" si="20"/>
        <v>21</v>
      </c>
      <c r="G99" s="9">
        <f t="shared" si="21"/>
        <v>0.64800000000000002</v>
      </c>
    </row>
    <row r="100" spans="1:7" x14ac:dyDescent="0.3">
      <c r="A100" t="str">
        <f>'Break Data'!A100</f>
        <v>Hyd_Employee99 (1008599)</v>
      </c>
      <c r="B100" t="str">
        <f t="shared" si="16"/>
        <v>Employee99</v>
      </c>
      <c r="C100" s="5">
        <f t="shared" si="17"/>
        <v>0.31111111111111112</v>
      </c>
      <c r="D100" s="5">
        <f t="shared" si="18"/>
        <v>0.19722222222222222</v>
      </c>
      <c r="E100" s="5">
        <f t="shared" si="19"/>
        <v>6.7361111111111108E-2</v>
      </c>
      <c r="F100">
        <f t="shared" si="20"/>
        <v>107</v>
      </c>
      <c r="G100" s="9">
        <f t="shared" si="21"/>
        <v>0.42230000000000001</v>
      </c>
    </row>
    <row r="101" spans="1:7" x14ac:dyDescent="0.3">
      <c r="A101" t="str">
        <f>'Break Data'!A101</f>
        <v>Hyd_Employee100 (1008600)</v>
      </c>
      <c r="B101" t="str">
        <f t="shared" si="16"/>
        <v>Employee100</v>
      </c>
      <c r="C101" s="5">
        <f t="shared" si="17"/>
        <v>0.32916666666666666</v>
      </c>
      <c r="D101" s="5">
        <f t="shared" si="18"/>
        <v>0.19930555555555557</v>
      </c>
      <c r="E101" s="5">
        <f t="shared" si="19"/>
        <v>6.1805555555555558E-2</v>
      </c>
      <c r="F101">
        <f t="shared" si="20"/>
        <v>108</v>
      </c>
      <c r="G101" s="9">
        <f t="shared" si="21"/>
        <v>0.52370000000000005</v>
      </c>
    </row>
    <row r="102" spans="1:7" x14ac:dyDescent="0.3">
      <c r="A102" t="str">
        <f>'Break Data'!A102</f>
        <v>Hyd_Employee101 (1008601)</v>
      </c>
      <c r="B102" t="str">
        <f t="shared" si="16"/>
        <v>Employee101</v>
      </c>
      <c r="C102" s="5">
        <f t="shared" si="17"/>
        <v>0.3</v>
      </c>
      <c r="D102" s="5">
        <f t="shared" si="18"/>
        <v>0.21458333333333332</v>
      </c>
      <c r="E102" s="5">
        <f t="shared" si="19"/>
        <v>6.3194444444444442E-2</v>
      </c>
      <c r="F102">
        <f t="shared" si="20"/>
        <v>63</v>
      </c>
      <c r="G102" s="9">
        <f t="shared" si="21"/>
        <v>0.68420000000000003</v>
      </c>
    </row>
    <row r="103" spans="1:7" x14ac:dyDescent="0.3">
      <c r="A103" t="str">
        <f>'Break Data'!A103</f>
        <v>Hyd_Employee102 (1008602)</v>
      </c>
      <c r="B103" t="str">
        <f t="shared" si="16"/>
        <v>Employee102</v>
      </c>
      <c r="C103" s="5">
        <f t="shared" si="17"/>
        <v>0.34652777777777777</v>
      </c>
      <c r="D103" s="5">
        <f t="shared" si="18"/>
        <v>0.17152777777777778</v>
      </c>
      <c r="E103" s="5">
        <f t="shared" si="19"/>
        <v>6.5277777777777782E-2</v>
      </c>
      <c r="F103">
        <f t="shared" si="20"/>
        <v>35</v>
      </c>
      <c r="G103" s="9">
        <f t="shared" si="21"/>
        <v>0.44600000000000001</v>
      </c>
    </row>
    <row r="104" spans="1:7" x14ac:dyDescent="0.3">
      <c r="A104" t="str">
        <f>'Break Data'!A104</f>
        <v>Hyd_Employee103 (1008603)</v>
      </c>
      <c r="B104" t="str">
        <f t="shared" si="16"/>
        <v>Employee103</v>
      </c>
      <c r="C104" s="5">
        <f t="shared" si="17"/>
        <v>0.29305555555555557</v>
      </c>
      <c r="D104" s="5">
        <f t="shared" si="18"/>
        <v>0.17083333333333334</v>
      </c>
      <c r="E104" s="5">
        <f t="shared" si="19"/>
        <v>6.5972222222222224E-2</v>
      </c>
      <c r="F104">
        <f t="shared" si="20"/>
        <v>111</v>
      </c>
      <c r="G104" s="9">
        <f t="shared" si="21"/>
        <v>0.57850000000000001</v>
      </c>
    </row>
    <row r="105" spans="1:7" x14ac:dyDescent="0.3">
      <c r="A105" t="str">
        <f>'Break Data'!A105</f>
        <v>Hyd_Employee104 (1008604)</v>
      </c>
      <c r="B105" t="str">
        <f t="shared" si="16"/>
        <v>Employee104</v>
      </c>
      <c r="C105" s="5">
        <f t="shared" si="17"/>
        <v>0.34652777777777777</v>
      </c>
      <c r="D105" s="5">
        <f t="shared" si="18"/>
        <v>0.2048611111111111</v>
      </c>
      <c r="E105" s="5">
        <f t="shared" si="19"/>
        <v>7.4999999999999997E-2</v>
      </c>
      <c r="F105">
        <f t="shared" si="20"/>
        <v>67</v>
      </c>
      <c r="G105" s="9">
        <f t="shared" si="21"/>
        <v>0.53380000000000005</v>
      </c>
    </row>
    <row r="106" spans="1:7" x14ac:dyDescent="0.3">
      <c r="A106" t="str">
        <f>'Break Data'!A106</f>
        <v>Hyd_Employee105 (1008605)</v>
      </c>
      <c r="B106" t="str">
        <f t="shared" si="16"/>
        <v>Employee105</v>
      </c>
      <c r="C106" s="5">
        <f t="shared" si="17"/>
        <v>0.32916666666666666</v>
      </c>
      <c r="D106" s="5">
        <f t="shared" si="18"/>
        <v>0.17916666666666667</v>
      </c>
      <c r="E106" s="5">
        <f t="shared" si="19"/>
        <v>5.486111111111111E-2</v>
      </c>
      <c r="F106">
        <f t="shared" si="20"/>
        <v>31</v>
      </c>
      <c r="G106" s="9">
        <f t="shared" si="21"/>
        <v>0.42580000000000001</v>
      </c>
    </row>
    <row r="107" spans="1:7" x14ac:dyDescent="0.3">
      <c r="A107" t="str">
        <f>'Break Data'!A107</f>
        <v>Hyd_Employee106 (1008606)</v>
      </c>
      <c r="B107" t="str">
        <f t="shared" si="16"/>
        <v>Employee106</v>
      </c>
      <c r="C107" s="5">
        <f t="shared" si="17"/>
        <v>0.3659722222222222</v>
      </c>
      <c r="D107" s="5">
        <f t="shared" si="18"/>
        <v>0.2048611111111111</v>
      </c>
      <c r="E107" s="5">
        <f t="shared" si="19"/>
        <v>5.347222222222222E-2</v>
      </c>
      <c r="F107">
        <f t="shared" si="20"/>
        <v>101</v>
      </c>
      <c r="G107" s="9">
        <f t="shared" si="21"/>
        <v>0.67369999999999997</v>
      </c>
    </row>
    <row r="108" spans="1:7" x14ac:dyDescent="0.3">
      <c r="A108" t="str">
        <f>'Break Data'!A108</f>
        <v>Hyd_Employee107 (1008607)</v>
      </c>
      <c r="B108" t="str">
        <f t="shared" si="16"/>
        <v>Employee107</v>
      </c>
      <c r="C108" s="5">
        <f t="shared" si="17"/>
        <v>0.31597222222222221</v>
      </c>
      <c r="D108" s="5">
        <f t="shared" si="18"/>
        <v>0.1875</v>
      </c>
      <c r="E108" s="5">
        <f t="shared" si="19"/>
        <v>5.0694444444444445E-2</v>
      </c>
      <c r="F108">
        <f t="shared" si="20"/>
        <v>77</v>
      </c>
      <c r="G108" s="9">
        <f t="shared" si="21"/>
        <v>0.59299999999999997</v>
      </c>
    </row>
    <row r="109" spans="1:7" x14ac:dyDescent="0.3">
      <c r="A109" t="str">
        <f>'Break Data'!A109</f>
        <v>Hyd_Employee108 (1008608)</v>
      </c>
      <c r="B109" t="str">
        <f t="shared" si="16"/>
        <v>Employee108</v>
      </c>
      <c r="C109" s="5">
        <f t="shared" si="17"/>
        <v>0.36319444444444443</v>
      </c>
      <c r="D109" s="5">
        <f t="shared" si="18"/>
        <v>0.21180555555555555</v>
      </c>
      <c r="E109" s="5">
        <f t="shared" si="19"/>
        <v>6.5277777777777782E-2</v>
      </c>
      <c r="F109">
        <f t="shared" si="20"/>
        <v>69</v>
      </c>
      <c r="G109" s="9">
        <f t="shared" si="21"/>
        <v>0.68140000000000001</v>
      </c>
    </row>
    <row r="110" spans="1:7" x14ac:dyDescent="0.3">
      <c r="A110" t="str">
        <f>'Break Data'!A110</f>
        <v>Hyd_Employee109 (1008609)</v>
      </c>
      <c r="B110" t="str">
        <f t="shared" si="16"/>
        <v>Employee109</v>
      </c>
      <c r="C110" s="5">
        <f t="shared" si="17"/>
        <v>0.34027777777777779</v>
      </c>
      <c r="D110" s="5">
        <f t="shared" si="18"/>
        <v>0.17152777777777778</v>
      </c>
      <c r="E110" s="5">
        <f t="shared" si="19"/>
        <v>7.013888888888889E-2</v>
      </c>
      <c r="F110">
        <f t="shared" si="20"/>
        <v>44</v>
      </c>
      <c r="G110" s="9">
        <f t="shared" si="21"/>
        <v>0.65839999999999999</v>
      </c>
    </row>
    <row r="111" spans="1:7" x14ac:dyDescent="0.3">
      <c r="A111" t="str">
        <f>'Break Data'!A111</f>
        <v>Hyd_Employee110 (1008610)</v>
      </c>
      <c r="B111" t="str">
        <f t="shared" si="16"/>
        <v>Employee110</v>
      </c>
      <c r="C111" s="5">
        <f t="shared" si="17"/>
        <v>0.33263888888888887</v>
      </c>
      <c r="D111" s="5">
        <f t="shared" si="18"/>
        <v>0.21249999999999999</v>
      </c>
      <c r="E111" s="5">
        <f t="shared" si="19"/>
        <v>5.7638888888888892E-2</v>
      </c>
      <c r="F111">
        <f t="shared" si="20"/>
        <v>35</v>
      </c>
      <c r="G111" s="9">
        <f t="shared" si="21"/>
        <v>0.44400000000000001</v>
      </c>
    </row>
    <row r="112" spans="1:7" x14ac:dyDescent="0.3">
      <c r="A112" t="str">
        <f>'Break Data'!A112</f>
        <v>Hyd_Employee111 (1008611)</v>
      </c>
      <c r="B112" t="str">
        <f t="shared" si="16"/>
        <v>Employee111</v>
      </c>
      <c r="C112" s="5">
        <f t="shared" si="17"/>
        <v>0.30625000000000002</v>
      </c>
      <c r="D112" s="5">
        <f t="shared" si="18"/>
        <v>0.22569444444444445</v>
      </c>
      <c r="E112" s="5">
        <f t="shared" si="19"/>
        <v>5.8333333333333334E-2</v>
      </c>
      <c r="F112">
        <f t="shared" si="20"/>
        <v>116</v>
      </c>
      <c r="G112" s="9">
        <f t="shared" si="21"/>
        <v>0.58760000000000001</v>
      </c>
    </row>
    <row r="113" spans="1:7" x14ac:dyDescent="0.3">
      <c r="A113" t="str">
        <f>'Break Data'!A113</f>
        <v>Hyd_Employee112 (1008612)</v>
      </c>
      <c r="B113" t="str">
        <f t="shared" si="16"/>
        <v>Employee112</v>
      </c>
      <c r="C113" s="5">
        <f t="shared" si="17"/>
        <v>0.36944444444444446</v>
      </c>
      <c r="D113" s="5">
        <f t="shared" si="18"/>
        <v>0.17083333333333334</v>
      </c>
      <c r="E113" s="5">
        <f t="shared" si="19"/>
        <v>6.9444444444444448E-2</v>
      </c>
      <c r="F113">
        <f t="shared" si="20"/>
        <v>71</v>
      </c>
      <c r="G113" s="9">
        <f t="shared" si="21"/>
        <v>0.58530000000000004</v>
      </c>
    </row>
    <row r="114" spans="1:7" x14ac:dyDescent="0.3">
      <c r="A114" t="str">
        <f>'Break Data'!A114</f>
        <v>Hyd_Employee113 (1008613)</v>
      </c>
      <c r="B114" t="str">
        <f t="shared" si="16"/>
        <v>Employee113</v>
      </c>
      <c r="C114" s="5">
        <f t="shared" si="17"/>
        <v>0.29375000000000001</v>
      </c>
      <c r="D114" s="5">
        <f t="shared" si="18"/>
        <v>0.21111111111111111</v>
      </c>
      <c r="E114" s="5">
        <f t="shared" si="19"/>
        <v>7.5694444444444439E-2</v>
      </c>
      <c r="F114">
        <f t="shared" si="20"/>
        <v>88</v>
      </c>
      <c r="G114" s="9">
        <f t="shared" si="21"/>
        <v>0.54110000000000003</v>
      </c>
    </row>
    <row r="115" spans="1:7" x14ac:dyDescent="0.3">
      <c r="A115" t="str">
        <f>'Break Data'!A115</f>
        <v>Hyd_Employee114 (1008614)</v>
      </c>
      <c r="B115" t="str">
        <f t="shared" si="16"/>
        <v>Employee114</v>
      </c>
      <c r="C115" s="5">
        <f t="shared" si="17"/>
        <v>0.2951388888888889</v>
      </c>
      <c r="D115" s="5">
        <f t="shared" si="18"/>
        <v>0.17430555555555555</v>
      </c>
      <c r="E115" s="5">
        <f t="shared" si="19"/>
        <v>6.3194444444444442E-2</v>
      </c>
      <c r="F115">
        <f t="shared" si="20"/>
        <v>39</v>
      </c>
      <c r="G115" s="9">
        <f t="shared" si="21"/>
        <v>0.49270000000000003</v>
      </c>
    </row>
    <row r="116" spans="1:7" x14ac:dyDescent="0.3">
      <c r="A116" t="str">
        <f>'Break Data'!A116</f>
        <v>Hyd_Employee115 (1008615)</v>
      </c>
      <c r="B116" t="str">
        <f t="shared" si="16"/>
        <v>Employee115</v>
      </c>
      <c r="C116" s="5">
        <f t="shared" si="17"/>
        <v>0.35069444444444442</v>
      </c>
      <c r="D116" s="5">
        <f t="shared" si="18"/>
        <v>0.20347222222222222</v>
      </c>
      <c r="E116" s="5">
        <f t="shared" si="19"/>
        <v>7.9861111111111105E-2</v>
      </c>
      <c r="F116">
        <f t="shared" si="20"/>
        <v>103</v>
      </c>
      <c r="G116" s="9">
        <f t="shared" si="21"/>
        <v>0.65920000000000001</v>
      </c>
    </row>
    <row r="117" spans="1:7" x14ac:dyDescent="0.3">
      <c r="A117" t="str">
        <f>'Break Data'!A117</f>
        <v>Hyd_Employee116 (1008616)</v>
      </c>
      <c r="B117" t="str">
        <f t="shared" si="16"/>
        <v>Employee116</v>
      </c>
      <c r="C117" s="5">
        <f t="shared" si="17"/>
        <v>0.3611111111111111</v>
      </c>
      <c r="D117" s="5">
        <f t="shared" si="18"/>
        <v>0.22013888888888888</v>
      </c>
      <c r="E117" s="5">
        <f t="shared" si="19"/>
        <v>6.9444444444444448E-2</v>
      </c>
      <c r="F117">
        <f t="shared" si="20"/>
        <v>23</v>
      </c>
      <c r="G117" s="9">
        <f t="shared" si="21"/>
        <v>0.43469999999999998</v>
      </c>
    </row>
    <row r="118" spans="1:7" x14ac:dyDescent="0.3">
      <c r="A118" t="str">
        <f>'Break Data'!A118</f>
        <v>Hyd_Employee117 (1008617)</v>
      </c>
      <c r="B118" t="str">
        <f t="shared" si="16"/>
        <v>Employee117</v>
      </c>
      <c r="C118" s="5">
        <f t="shared" si="17"/>
        <v>0.36180555555555555</v>
      </c>
      <c r="D118" s="5">
        <f t="shared" si="18"/>
        <v>0.23819444444444443</v>
      </c>
      <c r="E118" s="5">
        <f t="shared" si="19"/>
        <v>7.013888888888889E-2</v>
      </c>
      <c r="F118">
        <f t="shared" si="20"/>
        <v>90</v>
      </c>
      <c r="G118" s="9">
        <f t="shared" si="21"/>
        <v>0.53910000000000002</v>
      </c>
    </row>
    <row r="119" spans="1:7" x14ac:dyDescent="0.3">
      <c r="A119" t="str">
        <f>'Break Data'!A119</f>
        <v>Hyd_Employee118 (1008618)</v>
      </c>
      <c r="B119" t="str">
        <f t="shared" si="16"/>
        <v>Employee118</v>
      </c>
      <c r="C119" s="5">
        <f t="shared" si="17"/>
        <v>0.30902777777777779</v>
      </c>
      <c r="D119" s="5">
        <f t="shared" si="18"/>
        <v>0.19583333333333333</v>
      </c>
      <c r="E119" s="5">
        <f t="shared" si="19"/>
        <v>7.013888888888889E-2</v>
      </c>
      <c r="F119">
        <f t="shared" si="20"/>
        <v>40</v>
      </c>
      <c r="G119" s="9">
        <f t="shared" si="21"/>
        <v>0.49299999999999999</v>
      </c>
    </row>
    <row r="120" spans="1:7" x14ac:dyDescent="0.3">
      <c r="A120" t="str">
        <f>'Break Data'!A120</f>
        <v>Hyd_Employee119 (1008619)</v>
      </c>
      <c r="B120" t="str">
        <f t="shared" si="16"/>
        <v>Employee119</v>
      </c>
      <c r="C120" s="5">
        <f t="shared" si="17"/>
        <v>0.3611111111111111</v>
      </c>
      <c r="D120" s="5">
        <f t="shared" si="18"/>
        <v>0.23402777777777778</v>
      </c>
      <c r="E120" s="5">
        <f t="shared" si="19"/>
        <v>6.458333333333334E-2</v>
      </c>
      <c r="F120">
        <f t="shared" si="20"/>
        <v>27</v>
      </c>
      <c r="G120" s="9">
        <f t="shared" si="21"/>
        <v>0.68889999999999996</v>
      </c>
    </row>
    <row r="121" spans="1:7" x14ac:dyDescent="0.3">
      <c r="A121" t="str">
        <f>'Break Data'!A121</f>
        <v>Hyd_Employee120 (1008620)</v>
      </c>
      <c r="B121" t="str">
        <f t="shared" si="16"/>
        <v>Employee120</v>
      </c>
      <c r="C121" s="5">
        <f t="shared" si="17"/>
        <v>0.3263888888888889</v>
      </c>
      <c r="D121" s="5">
        <f t="shared" si="18"/>
        <v>0.20902777777777778</v>
      </c>
      <c r="E121" s="5">
        <f t="shared" si="19"/>
        <v>4.5138888888888888E-2</v>
      </c>
      <c r="F121">
        <f t="shared" si="20"/>
        <v>73</v>
      </c>
      <c r="G121" s="9">
        <f t="shared" si="21"/>
        <v>0.68079999999999996</v>
      </c>
    </row>
    <row r="122" spans="1:7" x14ac:dyDescent="0.3">
      <c r="A122" t="str">
        <f>'Break Data'!A122</f>
        <v>Hyd_Employee121 (1008621)</v>
      </c>
      <c r="B122" t="str">
        <f t="shared" si="16"/>
        <v>Employee121</v>
      </c>
      <c r="C122" s="5">
        <f t="shared" si="17"/>
        <v>0.2951388888888889</v>
      </c>
      <c r="D122" s="5">
        <f t="shared" si="18"/>
        <v>0.1736111111111111</v>
      </c>
      <c r="E122" s="5">
        <f t="shared" si="19"/>
        <v>5.8333333333333334E-2</v>
      </c>
      <c r="F122">
        <f t="shared" si="20"/>
        <v>80</v>
      </c>
      <c r="G122" s="9">
        <f t="shared" si="21"/>
        <v>0.53029999999999999</v>
      </c>
    </row>
    <row r="123" spans="1:7" x14ac:dyDescent="0.3">
      <c r="A123" t="str">
        <f>'Break Data'!A123</f>
        <v>Hyd_Employee122 (1008622)</v>
      </c>
      <c r="B123" t="str">
        <f t="shared" si="16"/>
        <v>Employee122</v>
      </c>
      <c r="C123" s="5">
        <f t="shared" si="17"/>
        <v>0.33263888888888887</v>
      </c>
      <c r="D123" s="5">
        <f t="shared" si="18"/>
        <v>0.22083333333333333</v>
      </c>
      <c r="E123" s="5">
        <f t="shared" si="19"/>
        <v>6.7361111111111108E-2</v>
      </c>
      <c r="F123">
        <f t="shared" si="20"/>
        <v>106</v>
      </c>
      <c r="G123" s="9">
        <f t="shared" si="21"/>
        <v>0.4607</v>
      </c>
    </row>
    <row r="124" spans="1:7" x14ac:dyDescent="0.3">
      <c r="A124" t="str">
        <f>'Break Data'!A124</f>
        <v>Hyd_Employee123 (1008623)</v>
      </c>
      <c r="B124" t="str">
        <f t="shared" si="16"/>
        <v>Employee123</v>
      </c>
      <c r="C124" s="5">
        <f t="shared" si="17"/>
        <v>0.3263888888888889</v>
      </c>
      <c r="D124" s="5">
        <f t="shared" si="18"/>
        <v>0.18124999999999999</v>
      </c>
      <c r="E124" s="5">
        <f t="shared" si="19"/>
        <v>6.0416666666666667E-2</v>
      </c>
      <c r="F124">
        <f t="shared" si="20"/>
        <v>66</v>
      </c>
      <c r="G124" s="9">
        <f t="shared" si="21"/>
        <v>0.41049999999999998</v>
      </c>
    </row>
    <row r="125" spans="1:7" x14ac:dyDescent="0.3">
      <c r="A125" t="str">
        <f>'Break Data'!A125</f>
        <v>Hyd_Employee124 (1008624)</v>
      </c>
      <c r="B125" t="str">
        <f t="shared" si="16"/>
        <v>Employee124</v>
      </c>
      <c r="C125" s="5">
        <f t="shared" si="17"/>
        <v>0.2986111111111111</v>
      </c>
      <c r="D125" s="5">
        <f t="shared" si="18"/>
        <v>0.22500000000000001</v>
      </c>
      <c r="E125" s="5">
        <f t="shared" si="19"/>
        <v>6.5277777777777782E-2</v>
      </c>
      <c r="F125">
        <f t="shared" si="20"/>
        <v>44</v>
      </c>
      <c r="G125" s="9">
        <f t="shared" si="21"/>
        <v>0.53569999999999995</v>
      </c>
    </row>
    <row r="126" spans="1:7" x14ac:dyDescent="0.3">
      <c r="A126" t="str">
        <f>'Break Data'!A126</f>
        <v>Hyd_Employee125 (1008625)</v>
      </c>
      <c r="B126" t="str">
        <f t="shared" si="16"/>
        <v>Employee125</v>
      </c>
      <c r="C126" s="5">
        <f t="shared" si="17"/>
        <v>0.30416666666666664</v>
      </c>
      <c r="D126" s="5">
        <f t="shared" si="18"/>
        <v>0.22500000000000001</v>
      </c>
      <c r="E126" s="5">
        <f t="shared" si="19"/>
        <v>6.8750000000000006E-2</v>
      </c>
      <c r="F126">
        <f t="shared" si="20"/>
        <v>120</v>
      </c>
      <c r="G126" s="9">
        <f t="shared" si="21"/>
        <v>0.63160000000000005</v>
      </c>
    </row>
    <row r="127" spans="1:7" x14ac:dyDescent="0.3">
      <c r="A127" t="str">
        <f>'Break Data'!A127</f>
        <v>Hyd_Employee126 (1008626)</v>
      </c>
      <c r="B127" t="str">
        <f t="shared" si="16"/>
        <v>Employee126</v>
      </c>
      <c r="C127" s="5">
        <f t="shared" si="17"/>
        <v>0.33541666666666664</v>
      </c>
      <c r="D127" s="5">
        <f t="shared" si="18"/>
        <v>0.24583333333333332</v>
      </c>
      <c r="E127" s="5">
        <f t="shared" si="19"/>
        <v>5.9027777777777776E-2</v>
      </c>
      <c r="F127">
        <f t="shared" si="20"/>
        <v>117</v>
      </c>
      <c r="G127" s="9">
        <f t="shared" si="21"/>
        <v>0.54200000000000004</v>
      </c>
    </row>
    <row r="128" spans="1:7" x14ac:dyDescent="0.3">
      <c r="A128" t="str">
        <f>'Break Data'!A128</f>
        <v>Hyd_Employee127 (1008627)</v>
      </c>
      <c r="B128" t="str">
        <f t="shared" si="16"/>
        <v>Employee127</v>
      </c>
      <c r="C128" s="5">
        <f t="shared" si="17"/>
        <v>0.30972222222222223</v>
      </c>
      <c r="D128" s="5">
        <f t="shared" si="18"/>
        <v>0.25</v>
      </c>
      <c r="E128" s="5">
        <f t="shared" si="19"/>
        <v>6.5277777777777782E-2</v>
      </c>
      <c r="F128">
        <f t="shared" si="20"/>
        <v>86</v>
      </c>
      <c r="G128" s="9">
        <f t="shared" si="21"/>
        <v>0.58069999999999999</v>
      </c>
    </row>
    <row r="129" spans="1:7" x14ac:dyDescent="0.3">
      <c r="A129" t="str">
        <f>'Break Data'!A129</f>
        <v>Hyd_Employee128 (1008628)</v>
      </c>
      <c r="B129" t="str">
        <f t="shared" si="16"/>
        <v>Employee128</v>
      </c>
      <c r="C129" s="5">
        <f t="shared" si="17"/>
        <v>0.3</v>
      </c>
      <c r="D129" s="5">
        <f t="shared" si="18"/>
        <v>0.23055555555555557</v>
      </c>
      <c r="E129" s="5">
        <f t="shared" si="19"/>
        <v>7.2916666666666671E-2</v>
      </c>
      <c r="F129">
        <f t="shared" si="20"/>
        <v>116</v>
      </c>
      <c r="G129" s="9">
        <f t="shared" si="21"/>
        <v>0.54690000000000005</v>
      </c>
    </row>
    <row r="130" spans="1:7" x14ac:dyDescent="0.3">
      <c r="A130" t="str">
        <f>'Break Data'!A130</f>
        <v>Hyd_Employee129 (1008629)</v>
      </c>
      <c r="B130" t="str">
        <f t="shared" si="16"/>
        <v>Employee129</v>
      </c>
      <c r="C130" s="5">
        <f t="shared" ref="C130:C150" si="22">TIMEVALUE(VLOOKUP(A130,Efficiency,2,0))</f>
        <v>0.34236111111111112</v>
      </c>
      <c r="D130" s="5">
        <f t="shared" ref="D130:D150" si="23">TIMEVALUE(VLOOKUP(A130,Efficiency,3,0))</f>
        <v>0.17430555555555555</v>
      </c>
      <c r="E130" s="5">
        <f t="shared" ref="E130:E150" si="24">TIMEVALUE(VLOOKUP(A130,Breakdata,9,0))</f>
        <v>7.6388888888888895E-2</v>
      </c>
      <c r="F130">
        <f t="shared" ref="F130:F150" si="25">VLOOKUP(A130,Calldata,2,0)</f>
        <v>24</v>
      </c>
      <c r="G130" s="9">
        <f t="shared" ref="G130:G150" si="26">VALUE(VLOOKUP(A130,Efficiency,6,0))</f>
        <v>0.47299999999999998</v>
      </c>
    </row>
    <row r="131" spans="1:7" x14ac:dyDescent="0.3">
      <c r="A131" t="str">
        <f>'Break Data'!A131</f>
        <v>Hyd_Employee130 (1008630)</v>
      </c>
      <c r="B131" t="str">
        <f t="shared" ref="B131:B150" si="27">MID(A131,FIND("_",A131,1)+1,FIND("(",A131,1)-FIND("_",A131,1)-2)</f>
        <v>Employee130</v>
      </c>
      <c r="C131" s="5">
        <f t="shared" si="22"/>
        <v>0.34930555555555554</v>
      </c>
      <c r="D131" s="5">
        <f t="shared" si="23"/>
        <v>0.19305555555555556</v>
      </c>
      <c r="E131" s="5">
        <f t="shared" si="24"/>
        <v>7.013888888888889E-2</v>
      </c>
      <c r="F131">
        <f t="shared" si="25"/>
        <v>60</v>
      </c>
      <c r="G131" s="9">
        <f t="shared" si="26"/>
        <v>0.40189999999999998</v>
      </c>
    </row>
    <row r="132" spans="1:7" x14ac:dyDescent="0.3">
      <c r="A132" t="str">
        <f>'Break Data'!A132</f>
        <v>Hyd_Employee131 (1008631)</v>
      </c>
      <c r="B132" t="str">
        <f t="shared" si="27"/>
        <v>Employee131</v>
      </c>
      <c r="C132" s="5">
        <f t="shared" si="22"/>
        <v>0.3263888888888889</v>
      </c>
      <c r="D132" s="5">
        <f t="shared" si="23"/>
        <v>0.18472222222222223</v>
      </c>
      <c r="E132" s="5">
        <f t="shared" si="24"/>
        <v>6.5277777777777782E-2</v>
      </c>
      <c r="F132">
        <f t="shared" si="25"/>
        <v>84</v>
      </c>
      <c r="G132" s="9">
        <f t="shared" si="26"/>
        <v>0.62119999999999997</v>
      </c>
    </row>
    <row r="133" spans="1:7" x14ac:dyDescent="0.3">
      <c r="A133" t="str">
        <f>'Break Data'!A133</f>
        <v>Hyd_Employee132 (1008632)</v>
      </c>
      <c r="B133" t="str">
        <f t="shared" si="27"/>
        <v>Employee132</v>
      </c>
      <c r="C133" s="5">
        <f t="shared" si="22"/>
        <v>0.31458333333333333</v>
      </c>
      <c r="D133" s="5">
        <f t="shared" si="23"/>
        <v>0.17708333333333334</v>
      </c>
      <c r="E133" s="5">
        <f t="shared" si="24"/>
        <v>5.486111111111111E-2</v>
      </c>
      <c r="F133">
        <f t="shared" si="25"/>
        <v>55</v>
      </c>
      <c r="G133" s="9">
        <f t="shared" si="26"/>
        <v>0.65880000000000005</v>
      </c>
    </row>
    <row r="134" spans="1:7" x14ac:dyDescent="0.3">
      <c r="A134" t="str">
        <f>'Break Data'!A134</f>
        <v>Hyd_Employee133 (1008633)</v>
      </c>
      <c r="B134" t="str">
        <f t="shared" si="27"/>
        <v>Employee133</v>
      </c>
      <c r="C134" s="5">
        <f t="shared" si="22"/>
        <v>0.31041666666666667</v>
      </c>
      <c r="D134" s="5">
        <f t="shared" si="23"/>
        <v>0.24374999999999999</v>
      </c>
      <c r="E134" s="5">
        <f t="shared" si="24"/>
        <v>6.458333333333334E-2</v>
      </c>
      <c r="F134">
        <f t="shared" si="25"/>
        <v>72</v>
      </c>
      <c r="G134" s="9">
        <f t="shared" si="26"/>
        <v>0.52129999999999999</v>
      </c>
    </row>
    <row r="135" spans="1:7" x14ac:dyDescent="0.3">
      <c r="A135" t="str">
        <f>'Break Data'!A135</f>
        <v>Hyd_Employee134 (1008634)</v>
      </c>
      <c r="B135" t="str">
        <f t="shared" si="27"/>
        <v>Employee134</v>
      </c>
      <c r="C135" s="5">
        <f t="shared" si="22"/>
        <v>0.35486111111111113</v>
      </c>
      <c r="D135" s="5">
        <f t="shared" si="23"/>
        <v>0.25</v>
      </c>
      <c r="E135" s="5">
        <f t="shared" si="24"/>
        <v>6.3888888888888884E-2</v>
      </c>
      <c r="F135">
        <f t="shared" si="25"/>
        <v>54</v>
      </c>
      <c r="G135" s="9">
        <f t="shared" si="26"/>
        <v>0.41770000000000002</v>
      </c>
    </row>
    <row r="136" spans="1:7" x14ac:dyDescent="0.3">
      <c r="A136" t="str">
        <f>'Break Data'!A136</f>
        <v>Hyd_Employee135 (1008635)</v>
      </c>
      <c r="B136" t="str">
        <f t="shared" si="27"/>
        <v>Employee135</v>
      </c>
      <c r="C136" s="5">
        <f t="shared" si="22"/>
        <v>0.33611111111111114</v>
      </c>
      <c r="D136" s="5">
        <f t="shared" si="23"/>
        <v>0.18472222222222223</v>
      </c>
      <c r="E136" s="5">
        <f t="shared" si="24"/>
        <v>5.9722222222222225E-2</v>
      </c>
      <c r="F136">
        <f t="shared" si="25"/>
        <v>84</v>
      </c>
      <c r="G136" s="9">
        <f t="shared" si="26"/>
        <v>0.54369999999999996</v>
      </c>
    </row>
    <row r="137" spans="1:7" x14ac:dyDescent="0.3">
      <c r="A137" t="str">
        <f>'Break Data'!A137</f>
        <v>Hyd_Employee136 (1008636)</v>
      </c>
      <c r="B137" t="str">
        <f t="shared" si="27"/>
        <v>Employee136</v>
      </c>
      <c r="C137" s="5">
        <f t="shared" si="22"/>
        <v>0.3527777777777778</v>
      </c>
      <c r="D137" s="5">
        <f t="shared" si="23"/>
        <v>0.22013888888888888</v>
      </c>
      <c r="E137" s="5">
        <f t="shared" si="24"/>
        <v>7.5694444444444439E-2</v>
      </c>
      <c r="F137">
        <f t="shared" si="25"/>
        <v>115</v>
      </c>
      <c r="G137" s="9">
        <f t="shared" si="26"/>
        <v>0.4451</v>
      </c>
    </row>
    <row r="138" spans="1:7" x14ac:dyDescent="0.3">
      <c r="A138" t="str">
        <f>'Break Data'!A138</f>
        <v>Hyd_Employee137 (1008637)</v>
      </c>
      <c r="B138" t="str">
        <f t="shared" si="27"/>
        <v>Employee137</v>
      </c>
      <c r="C138" s="5">
        <f t="shared" si="22"/>
        <v>0.33958333333333335</v>
      </c>
      <c r="D138" s="5">
        <f t="shared" si="23"/>
        <v>0.1875</v>
      </c>
      <c r="E138" s="5">
        <f t="shared" si="24"/>
        <v>4.8611111111111112E-2</v>
      </c>
      <c r="F138">
        <f t="shared" si="25"/>
        <v>21</v>
      </c>
      <c r="G138" s="9">
        <f t="shared" si="26"/>
        <v>0.49080000000000001</v>
      </c>
    </row>
    <row r="139" spans="1:7" x14ac:dyDescent="0.3">
      <c r="A139" t="str">
        <f>'Break Data'!A139</f>
        <v>Hyd_Employee138 (1008638)</v>
      </c>
      <c r="B139" t="str">
        <f t="shared" si="27"/>
        <v>Employee138</v>
      </c>
      <c r="C139" s="5">
        <f t="shared" si="22"/>
        <v>0.29583333333333334</v>
      </c>
      <c r="D139" s="5">
        <f t="shared" si="23"/>
        <v>0.17777777777777778</v>
      </c>
      <c r="E139" s="5">
        <f t="shared" si="24"/>
        <v>6.3888888888888884E-2</v>
      </c>
      <c r="F139">
        <f t="shared" si="25"/>
        <v>66</v>
      </c>
      <c r="G139" s="9">
        <f t="shared" si="26"/>
        <v>0.51229999999999998</v>
      </c>
    </row>
    <row r="140" spans="1:7" x14ac:dyDescent="0.3">
      <c r="A140" t="str">
        <f>'Break Data'!A140</f>
        <v>Hyd_Employee139 (1008639)</v>
      </c>
      <c r="B140" t="str">
        <f t="shared" si="27"/>
        <v>Employee139</v>
      </c>
      <c r="C140" s="5">
        <f t="shared" si="22"/>
        <v>0.3215277777777778</v>
      </c>
      <c r="D140" s="5">
        <f t="shared" si="23"/>
        <v>0.21249999999999999</v>
      </c>
      <c r="E140" s="5">
        <f t="shared" si="24"/>
        <v>7.4305555555555555E-2</v>
      </c>
      <c r="F140">
        <f t="shared" si="25"/>
        <v>34</v>
      </c>
      <c r="G140" s="9">
        <f t="shared" si="26"/>
        <v>0.442</v>
      </c>
    </row>
    <row r="141" spans="1:7" x14ac:dyDescent="0.3">
      <c r="A141" t="str">
        <f>'Break Data'!A141</f>
        <v>Hyd_Employee140 (1008640)</v>
      </c>
      <c r="B141" t="str">
        <f t="shared" si="27"/>
        <v>Employee140</v>
      </c>
      <c r="C141" s="5">
        <f t="shared" si="22"/>
        <v>0.32500000000000001</v>
      </c>
      <c r="D141" s="5">
        <f t="shared" si="23"/>
        <v>0.2</v>
      </c>
      <c r="E141" s="5">
        <f t="shared" si="24"/>
        <v>5.8333333333333334E-2</v>
      </c>
      <c r="F141">
        <f t="shared" si="25"/>
        <v>70</v>
      </c>
      <c r="G141" s="9">
        <f t="shared" si="26"/>
        <v>0.57350000000000001</v>
      </c>
    </row>
    <row r="142" spans="1:7" x14ac:dyDescent="0.3">
      <c r="A142" t="str">
        <f>'Break Data'!A142</f>
        <v>Hyd_Employee141 (1008641)</v>
      </c>
      <c r="B142" t="str">
        <f t="shared" si="27"/>
        <v>Employee141</v>
      </c>
      <c r="C142" s="5">
        <f t="shared" si="22"/>
        <v>0.32430555555555557</v>
      </c>
      <c r="D142" s="5">
        <f t="shared" si="23"/>
        <v>0.23333333333333334</v>
      </c>
      <c r="E142" s="5">
        <f t="shared" si="24"/>
        <v>6.458333333333334E-2</v>
      </c>
      <c r="F142">
        <f t="shared" si="25"/>
        <v>54</v>
      </c>
      <c r="G142" s="9">
        <f t="shared" si="26"/>
        <v>0.47389999999999999</v>
      </c>
    </row>
    <row r="143" spans="1:7" x14ac:dyDescent="0.3">
      <c r="A143" t="str">
        <f>'Break Data'!A143</f>
        <v>Hyd_Employee142 (1008642)</v>
      </c>
      <c r="B143" t="str">
        <f t="shared" si="27"/>
        <v>Employee142</v>
      </c>
      <c r="C143" s="5">
        <f t="shared" si="22"/>
        <v>0.31041666666666667</v>
      </c>
      <c r="D143" s="5">
        <f t="shared" si="23"/>
        <v>0.22152777777777777</v>
      </c>
      <c r="E143" s="5">
        <f t="shared" si="24"/>
        <v>7.9166666666666663E-2</v>
      </c>
      <c r="F143">
        <f t="shared" si="25"/>
        <v>25</v>
      </c>
      <c r="G143" s="9">
        <f t="shared" si="26"/>
        <v>0.45079999999999998</v>
      </c>
    </row>
    <row r="144" spans="1:7" x14ac:dyDescent="0.3">
      <c r="A144" t="str">
        <f>'Break Data'!A144</f>
        <v>Hyd_Employee143 (1008643)</v>
      </c>
      <c r="B144" t="str">
        <f t="shared" si="27"/>
        <v>Employee143</v>
      </c>
      <c r="C144" s="5">
        <f t="shared" si="22"/>
        <v>0.3659722222222222</v>
      </c>
      <c r="D144" s="5">
        <f t="shared" si="23"/>
        <v>0.24027777777777778</v>
      </c>
      <c r="E144" s="5">
        <f t="shared" si="24"/>
        <v>6.3194444444444442E-2</v>
      </c>
      <c r="F144">
        <f t="shared" si="25"/>
        <v>64</v>
      </c>
      <c r="G144" s="9">
        <f t="shared" si="26"/>
        <v>0.437</v>
      </c>
    </row>
    <row r="145" spans="1:7" x14ac:dyDescent="0.3">
      <c r="A145" t="str">
        <f>'Break Data'!A145</f>
        <v>Hyd_Employee144 (1008644)</v>
      </c>
      <c r="B145" t="str">
        <f t="shared" si="27"/>
        <v>Employee144</v>
      </c>
      <c r="C145" s="5">
        <f t="shared" si="22"/>
        <v>0.2951388888888889</v>
      </c>
      <c r="D145" s="5">
        <f t="shared" si="23"/>
        <v>0.23055555555555557</v>
      </c>
      <c r="E145" s="5">
        <f t="shared" si="24"/>
        <v>6.1805555555555558E-2</v>
      </c>
      <c r="F145">
        <f t="shared" si="25"/>
        <v>22</v>
      </c>
      <c r="G145" s="9">
        <f t="shared" si="26"/>
        <v>0.51970000000000005</v>
      </c>
    </row>
    <row r="146" spans="1:7" x14ac:dyDescent="0.3">
      <c r="A146" t="str">
        <f>'Break Data'!A146</f>
        <v>Hyd_Employee145 (1008645)</v>
      </c>
      <c r="B146" t="str">
        <f t="shared" si="27"/>
        <v>Employee145</v>
      </c>
      <c r="C146" s="5">
        <f t="shared" si="22"/>
        <v>0.30069444444444443</v>
      </c>
      <c r="D146" s="5">
        <f t="shared" si="23"/>
        <v>0.20277777777777778</v>
      </c>
      <c r="E146" s="5">
        <f t="shared" si="24"/>
        <v>6.25E-2</v>
      </c>
      <c r="F146">
        <f t="shared" si="25"/>
        <v>34</v>
      </c>
      <c r="G146" s="9">
        <f t="shared" si="26"/>
        <v>0.47239999999999999</v>
      </c>
    </row>
    <row r="147" spans="1:7" x14ac:dyDescent="0.3">
      <c r="A147" t="str">
        <f>'Break Data'!A147</f>
        <v>Hyd_Employee146 (1008646)</v>
      </c>
      <c r="B147" t="str">
        <f t="shared" si="27"/>
        <v>Employee146</v>
      </c>
      <c r="C147" s="5">
        <f t="shared" si="22"/>
        <v>0.34097222222222223</v>
      </c>
      <c r="D147" s="5">
        <f t="shared" si="23"/>
        <v>0.1701388888888889</v>
      </c>
      <c r="E147" s="5">
        <f t="shared" si="24"/>
        <v>6.3888888888888884E-2</v>
      </c>
      <c r="F147">
        <f t="shared" si="25"/>
        <v>45</v>
      </c>
      <c r="G147" s="9">
        <f t="shared" si="26"/>
        <v>0.6895</v>
      </c>
    </row>
    <row r="148" spans="1:7" x14ac:dyDescent="0.3">
      <c r="A148" t="str">
        <f>'Break Data'!A148</f>
        <v>Hyd_Employee147 (1008647)</v>
      </c>
      <c r="B148" t="str">
        <f t="shared" si="27"/>
        <v>Employee147</v>
      </c>
      <c r="C148" s="5">
        <f t="shared" si="22"/>
        <v>0.30486111111111114</v>
      </c>
      <c r="D148" s="5">
        <f t="shared" si="23"/>
        <v>0.19236111111111112</v>
      </c>
      <c r="E148" s="5">
        <f t="shared" si="24"/>
        <v>7.013888888888889E-2</v>
      </c>
      <c r="F148">
        <f t="shared" si="25"/>
        <v>53</v>
      </c>
      <c r="G148" s="9">
        <f t="shared" si="26"/>
        <v>0.65890000000000004</v>
      </c>
    </row>
    <row r="149" spans="1:7" x14ac:dyDescent="0.3">
      <c r="A149" t="str">
        <f>'Break Data'!A149</f>
        <v>Hyd_Employee148 (1008648)</v>
      </c>
      <c r="B149" t="str">
        <f t="shared" si="27"/>
        <v>Employee148</v>
      </c>
      <c r="C149" s="5">
        <f t="shared" si="22"/>
        <v>0.3034722222222222</v>
      </c>
      <c r="D149" s="5">
        <f t="shared" si="23"/>
        <v>0.18333333333333332</v>
      </c>
      <c r="E149" s="5">
        <f t="shared" si="24"/>
        <v>6.7361111111111108E-2</v>
      </c>
      <c r="F149">
        <f t="shared" si="25"/>
        <v>108</v>
      </c>
      <c r="G149" s="9">
        <f t="shared" si="26"/>
        <v>0.55969999999999998</v>
      </c>
    </row>
    <row r="150" spans="1:7" x14ac:dyDescent="0.3">
      <c r="A150" t="str">
        <f>'Break Data'!A150</f>
        <v>Hyd_Employee149 (1008649)</v>
      </c>
      <c r="B150" t="str">
        <f t="shared" si="27"/>
        <v>Employee149</v>
      </c>
      <c r="C150" s="5">
        <f t="shared" si="22"/>
        <v>0.33819444444444446</v>
      </c>
      <c r="D150" s="5">
        <f t="shared" si="23"/>
        <v>0.1763888888888889</v>
      </c>
      <c r="E150" s="5">
        <f t="shared" si="24"/>
        <v>7.013888888888889E-2</v>
      </c>
      <c r="F150">
        <f t="shared" si="25"/>
        <v>34</v>
      </c>
      <c r="G150" s="9">
        <f t="shared" si="26"/>
        <v>0.53900000000000003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3403-5949-401B-89C0-AD218FD3895D}">
  <sheetPr codeName="Sheet5"/>
  <dimension ref="A1:I9"/>
  <sheetViews>
    <sheetView tabSelected="1" workbookViewId="0">
      <selection activeCell="I8" sqref="I8"/>
    </sheetView>
  </sheetViews>
  <sheetFormatPr defaultRowHeight="14.4" x14ac:dyDescent="0.3"/>
  <cols>
    <col min="1" max="1" width="21.77734375" bestFit="1" customWidth="1"/>
    <col min="2" max="2" width="27.33203125" bestFit="1" customWidth="1"/>
    <col min="3" max="3" width="18.5546875" customWidth="1"/>
    <col min="4" max="4" width="9.44140625" customWidth="1"/>
    <col min="5" max="5" width="0.33203125" hidden="1" customWidth="1"/>
    <col min="6" max="6" width="12.5546875" bestFit="1" customWidth="1"/>
    <col min="7" max="7" width="25.5546875" bestFit="1" customWidth="1"/>
    <col min="8" max="8" width="20.88671875" customWidth="1"/>
  </cols>
  <sheetData>
    <row r="1" spans="1:9" ht="31.2" customHeight="1" x14ac:dyDescent="0.3">
      <c r="D1" s="11">
        <v>5</v>
      </c>
      <c r="I1" s="8">
        <v>7</v>
      </c>
    </row>
    <row r="2" spans="1:9" ht="31.8" customHeight="1" x14ac:dyDescent="0.35">
      <c r="A2" s="13" t="s">
        <v>1806</v>
      </c>
      <c r="B2" s="14"/>
      <c r="D2" s="12">
        <v>5</v>
      </c>
      <c r="F2" s="13" t="s">
        <v>1806</v>
      </c>
      <c r="G2" s="14"/>
    </row>
    <row r="3" spans="1:9" x14ac:dyDescent="0.3">
      <c r="A3" s="6" t="s">
        <v>1799</v>
      </c>
      <c r="B3" t="s">
        <v>1805</v>
      </c>
      <c r="F3" s="6" t="s">
        <v>1799</v>
      </c>
      <c r="G3" t="s">
        <v>1811</v>
      </c>
    </row>
    <row r="4" spans="1:9" x14ac:dyDescent="0.3">
      <c r="A4" s="7" t="s">
        <v>1800</v>
      </c>
      <c r="B4" s="5">
        <v>0.37291666666666667</v>
      </c>
      <c r="F4" s="7" t="s">
        <v>1807</v>
      </c>
      <c r="G4" s="10">
        <v>0.68889999999999996</v>
      </c>
    </row>
    <row r="5" spans="1:9" x14ac:dyDescent="0.3">
      <c r="A5" s="7" t="s">
        <v>1801</v>
      </c>
      <c r="B5" s="5">
        <v>0.37083333333333335</v>
      </c>
      <c r="F5" s="7" t="s">
        <v>1808</v>
      </c>
      <c r="G5" s="10">
        <v>0.6895</v>
      </c>
    </row>
    <row r="6" spans="1:9" x14ac:dyDescent="0.3">
      <c r="A6" s="7" t="s">
        <v>1802</v>
      </c>
      <c r="B6" s="5">
        <v>0.37152777777777779</v>
      </c>
      <c r="F6" s="7" t="s">
        <v>1809</v>
      </c>
      <c r="G6" s="10">
        <v>0.69579999999999997</v>
      </c>
    </row>
    <row r="7" spans="1:9" x14ac:dyDescent="0.3">
      <c r="A7" s="7" t="s">
        <v>1803</v>
      </c>
      <c r="B7" s="5">
        <v>0.37291666666666667</v>
      </c>
      <c r="F7" s="7" t="s">
        <v>1803</v>
      </c>
      <c r="G7" s="10">
        <v>0.69689999999999996</v>
      </c>
    </row>
    <row r="8" spans="1:9" x14ac:dyDescent="0.3">
      <c r="A8" s="7" t="s">
        <v>1804</v>
      </c>
      <c r="B8" s="5">
        <v>0.37361111111111112</v>
      </c>
      <c r="F8" s="7" t="s">
        <v>1810</v>
      </c>
      <c r="G8" s="10">
        <v>0.69379999999999997</v>
      </c>
    </row>
    <row r="9" spans="1:9" x14ac:dyDescent="0.3">
      <c r="F9" s="7" t="s">
        <v>1812</v>
      </c>
      <c r="G9" s="10">
        <v>3.4649000000000001</v>
      </c>
    </row>
  </sheetData>
  <mergeCells count="2">
    <mergeCell ref="A2:B2"/>
    <mergeCell ref="F2:G2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Spinner 6">
              <controlPr defaultSize="0" autoPict="0" macro="[0]!Spinner1_code">
                <anchor moveWithCells="1" sizeWithCells="1">
                  <from>
                    <xdr:col>1</xdr:col>
                    <xdr:colOff>1082040</xdr:colOff>
                    <xdr:row>0</xdr:row>
                    <xdr:rowOff>30480</xdr:rowOff>
                  </from>
                  <to>
                    <xdr:col>1</xdr:col>
                    <xdr:colOff>1310640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Spinner 7">
              <controlPr defaultSize="0" autoPict="0" macro="[0]!Spinner7_code">
                <anchor moveWithCells="1" sizeWithCells="1">
                  <from>
                    <xdr:col>6</xdr:col>
                    <xdr:colOff>1082040</xdr:colOff>
                    <xdr:row>0</xdr:row>
                    <xdr:rowOff>30480</xdr:rowOff>
                  </from>
                  <to>
                    <xdr:col>6</xdr:col>
                    <xdr:colOff>1310640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 Data</vt:lpstr>
      <vt:lpstr>Efficiency</vt:lpstr>
      <vt:lpstr>Overall performance</vt:lpstr>
      <vt:lpstr>Summary</vt:lpstr>
      <vt:lpstr>Dashbaord</vt:lpstr>
      <vt:lpstr>Breakdata</vt:lpstr>
      <vt:lpstr>Calldata</vt:lpstr>
      <vt:lpstr>Efficiency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Nikunj Gour</cp:lastModifiedBy>
  <dcterms:created xsi:type="dcterms:W3CDTF">2026-04-08T07:45:32Z</dcterms:created>
  <dcterms:modified xsi:type="dcterms:W3CDTF">2026-04-12T07:38:36Z</dcterms:modified>
</cp:coreProperties>
</file>